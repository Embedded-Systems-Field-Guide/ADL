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9378d0b12923ecc/Documents/Nwu/Modules/Project/ADL/"/>
    </mc:Choice>
  </mc:AlternateContent>
  <xr:revisionPtr revIDLastSave="431" documentId="6_{8328EA44-04D6-48C3-A3A4-163BC628C4D2}" xr6:coauthVersionLast="47" xr6:coauthVersionMax="47" xr10:uidLastSave="{95596940-4B6C-4F28-BFC2-6AACA37921FF}"/>
  <bookViews>
    <workbookView xWindow="28680" yWindow="-120" windowWidth="11760" windowHeight="20010" xr2:uid="{AFA09BD5-3ECF-4A53-8670-FF83C70A395A}"/>
  </bookViews>
  <sheets>
    <sheet name="Address spaces Reduced" sheetId="10" r:id="rId1"/>
    <sheet name="Address spaces (2)" sheetId="6" r:id="rId2"/>
    <sheet name="Sheet2" sheetId="9" r:id="rId3"/>
    <sheet name="OPCode Spaces" sheetId="5" r:id="rId4"/>
    <sheet name="7Seg" sheetId="4" r:id="rId5"/>
    <sheet name="7Seg board" sheetId="11" r:id="rId6"/>
    <sheet name="LCD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2" l="1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" i="12"/>
  <c r="V3" i="12"/>
  <c r="P15" i="12"/>
  <c r="P16" i="12"/>
  <c r="P18" i="12"/>
  <c r="P3" i="12"/>
  <c r="P4" i="12"/>
  <c r="P5" i="12"/>
  <c r="P6" i="12"/>
  <c r="P7" i="12"/>
  <c r="P8" i="12"/>
  <c r="P9" i="12"/>
  <c r="P10" i="12"/>
  <c r="P11" i="12"/>
  <c r="P12" i="12"/>
  <c r="P13" i="12"/>
  <c r="P14" i="12"/>
  <c r="P17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Z16" i="11"/>
  <c r="Z15" i="11"/>
  <c r="Z14" i="11"/>
  <c r="Z13" i="11"/>
  <c r="Z12" i="11"/>
  <c r="Z11" i="11"/>
  <c r="Z10" i="11"/>
  <c r="Z9" i="11"/>
  <c r="Z8" i="11"/>
  <c r="Z7" i="11"/>
  <c r="Z7" i="4"/>
  <c r="Z9" i="4"/>
  <c r="Z10" i="4"/>
  <c r="Z11" i="4"/>
  <c r="Z12" i="4"/>
  <c r="Z13" i="4"/>
  <c r="Z14" i="4"/>
  <c r="Z15" i="4"/>
  <c r="Z16" i="4"/>
  <c r="Z8" i="4"/>
</calcChain>
</file>

<file path=xl/sharedStrings.xml><?xml version="1.0" encoding="utf-8"?>
<sst xmlns="http://schemas.openxmlformats.org/spreadsheetml/2006/main" count="670" uniqueCount="294">
  <si>
    <t>First Addresses Bus (7-bit Write)</t>
  </si>
  <si>
    <t>Space</t>
  </si>
  <si>
    <t>ALU</t>
  </si>
  <si>
    <t>MISC</t>
  </si>
  <si>
    <t>Timers</t>
  </si>
  <si>
    <t>Bit Address write</t>
  </si>
  <si>
    <t>Data Write</t>
  </si>
  <si>
    <t>Bit Address port</t>
  </si>
  <si>
    <t>COMS</t>
  </si>
  <si>
    <t>First Nibble</t>
  </si>
  <si>
    <t>Address</t>
  </si>
  <si>
    <t>Pin</t>
  </si>
  <si>
    <t>Info</t>
  </si>
  <si>
    <t>Second Nibble</t>
  </si>
  <si>
    <t>EMPTY</t>
  </si>
  <si>
    <t>T1_CLR</t>
  </si>
  <si>
    <t>Clear Space</t>
  </si>
  <si>
    <t>T1_TH</t>
  </si>
  <si>
    <t>PWM Timers</t>
  </si>
  <si>
    <t>R_1.1</t>
  </si>
  <si>
    <t>Full Reg write</t>
  </si>
  <si>
    <t>LATA_1</t>
  </si>
  <si>
    <t>TRISA_1</t>
  </si>
  <si>
    <t>BR</t>
  </si>
  <si>
    <t>UART1</t>
  </si>
  <si>
    <t>RST</t>
  </si>
  <si>
    <t>T2_CLR</t>
  </si>
  <si>
    <t>T1_TL</t>
  </si>
  <si>
    <t>R_1.2</t>
  </si>
  <si>
    <t>LATA_2</t>
  </si>
  <si>
    <t>TRISA_2</t>
  </si>
  <si>
    <t>BRPS</t>
  </si>
  <si>
    <t>ADD</t>
  </si>
  <si>
    <t>T3_CLR</t>
  </si>
  <si>
    <t>T1_PS</t>
  </si>
  <si>
    <t>R_1.3</t>
  </si>
  <si>
    <t>LATA_3</t>
  </si>
  <si>
    <t>TRISA_3</t>
  </si>
  <si>
    <t>CLR</t>
  </si>
  <si>
    <t>SBT</t>
  </si>
  <si>
    <t>T4_CLR</t>
  </si>
  <si>
    <t>R_1.4</t>
  </si>
  <si>
    <t>LATA_4</t>
  </si>
  <si>
    <t>TRISA_4</t>
  </si>
  <si>
    <t>TxBuf</t>
  </si>
  <si>
    <t>MUL</t>
  </si>
  <si>
    <t>RX_F</t>
  </si>
  <si>
    <t>T2_TH</t>
  </si>
  <si>
    <t>R_1.5</t>
  </si>
  <si>
    <t>MAR</t>
  </si>
  <si>
    <t>RAM</t>
  </si>
  <si>
    <t>LATA_5</t>
  </si>
  <si>
    <t>TRISA_5</t>
  </si>
  <si>
    <t>Send</t>
  </si>
  <si>
    <t>DIV</t>
  </si>
  <si>
    <t>TCON12</t>
  </si>
  <si>
    <t>CONS</t>
  </si>
  <si>
    <t>T2_TL</t>
  </si>
  <si>
    <t>R_1.6</t>
  </si>
  <si>
    <t>LATA_6</t>
  </si>
  <si>
    <t>TRISA_6</t>
  </si>
  <si>
    <t>SR</t>
  </si>
  <si>
    <t>TCON34</t>
  </si>
  <si>
    <t>T2_PS</t>
  </si>
  <si>
    <t>R_1.7</t>
  </si>
  <si>
    <t>TRISA</t>
  </si>
  <si>
    <t>Input = 0
Output = 1</t>
  </si>
  <si>
    <t>LATA_7</t>
  </si>
  <si>
    <t>TRISA_7</t>
  </si>
  <si>
    <t>SL</t>
  </si>
  <si>
    <t>COM_CON</t>
  </si>
  <si>
    <t>R_1.8</t>
  </si>
  <si>
    <t>TRISB</t>
  </si>
  <si>
    <t>LATA_8</t>
  </si>
  <si>
    <t>TRISA_8</t>
  </si>
  <si>
    <t>AND</t>
  </si>
  <si>
    <t>ALU_CON</t>
  </si>
  <si>
    <t>T3_REG</t>
  </si>
  <si>
    <t>Normal Timers</t>
  </si>
  <si>
    <t>R_2.1</t>
  </si>
  <si>
    <t>LATB_1</t>
  </si>
  <si>
    <t>TRISB_1</t>
  </si>
  <si>
    <t>OR</t>
  </si>
  <si>
    <t>DPTR_A</t>
  </si>
  <si>
    <t>T3_PSA</t>
  </si>
  <si>
    <t>R_2.2</t>
  </si>
  <si>
    <t>LATB_2</t>
  </si>
  <si>
    <t>TRISB_2</t>
  </si>
  <si>
    <t>XOR</t>
  </si>
  <si>
    <t>DPTR_B</t>
  </si>
  <si>
    <t>T3_PSB</t>
  </si>
  <si>
    <t>R_2.3</t>
  </si>
  <si>
    <t>LATA</t>
  </si>
  <si>
    <t>Write to lat</t>
  </si>
  <si>
    <t>LATB_3</t>
  </si>
  <si>
    <t>TRISB_3</t>
  </si>
  <si>
    <t>NTA</t>
  </si>
  <si>
    <t>R_2.4</t>
  </si>
  <si>
    <t>LATB</t>
  </si>
  <si>
    <t>LATB_4</t>
  </si>
  <si>
    <t>TRISB_4</t>
  </si>
  <si>
    <t>NTB</t>
  </si>
  <si>
    <t>T4_REG</t>
  </si>
  <si>
    <t>R_2.5</t>
  </si>
  <si>
    <t>LATB_5</t>
  </si>
  <si>
    <t>TRISB_5</t>
  </si>
  <si>
    <t>CALC</t>
  </si>
  <si>
    <t>T4_PS</t>
  </si>
  <si>
    <t>R_2.6</t>
  </si>
  <si>
    <t>LATB_6</t>
  </si>
  <si>
    <t>TRISB_6</t>
  </si>
  <si>
    <t>R_2.7</t>
  </si>
  <si>
    <t>LATB_7</t>
  </si>
  <si>
    <t>TRISB_7</t>
  </si>
  <si>
    <t>R_2.8</t>
  </si>
  <si>
    <t>LATB_8</t>
  </si>
  <si>
    <t>TRISB_8</t>
  </si>
  <si>
    <t>✔️</t>
  </si>
  <si>
    <t>Second Addresses Bus (6-bit Read)</t>
  </si>
  <si>
    <t>Main</t>
  </si>
  <si>
    <t>Bit Address Read</t>
  </si>
  <si>
    <t>PRTA/B</t>
  </si>
  <si>
    <t>PRTC/D</t>
  </si>
  <si>
    <t>Flags</t>
  </si>
  <si>
    <t>PRTA_1</t>
  </si>
  <si>
    <t>T1F</t>
  </si>
  <si>
    <t>PRTA_2</t>
  </si>
  <si>
    <t>T2F</t>
  </si>
  <si>
    <t>PRTA_3</t>
  </si>
  <si>
    <t>T3F</t>
  </si>
  <si>
    <t>PRTA_4</t>
  </si>
  <si>
    <t>T4F</t>
  </si>
  <si>
    <t>PRTA_5</t>
  </si>
  <si>
    <t>RXF</t>
  </si>
  <si>
    <t>PRTA_6</t>
  </si>
  <si>
    <t>TX_Idle</t>
  </si>
  <si>
    <t>PRTA_7</t>
  </si>
  <si>
    <t>PRT_A</t>
  </si>
  <si>
    <t>PRTA_8</t>
  </si>
  <si>
    <t>PRT_B</t>
  </si>
  <si>
    <t>PRTB_1</t>
  </si>
  <si>
    <t>PRTB_2</t>
  </si>
  <si>
    <t>PRTB_3</t>
  </si>
  <si>
    <t>RXBUF</t>
  </si>
  <si>
    <t>PRTB_4</t>
  </si>
  <si>
    <t>PRTB_5</t>
  </si>
  <si>
    <t>PRTB_6</t>
  </si>
  <si>
    <t>PRTB_7</t>
  </si>
  <si>
    <t>PRTB_8</t>
  </si>
  <si>
    <t>T1_F</t>
  </si>
  <si>
    <t>LATC_1</t>
  </si>
  <si>
    <t>T2_F</t>
  </si>
  <si>
    <t>LATC_2</t>
  </si>
  <si>
    <t>T3_F</t>
  </si>
  <si>
    <t>LATC_3</t>
  </si>
  <si>
    <t>T4_F</t>
  </si>
  <si>
    <t>LATC_4</t>
  </si>
  <si>
    <t>LATC_5</t>
  </si>
  <si>
    <t>LATC_6</t>
  </si>
  <si>
    <t>UART2</t>
  </si>
  <si>
    <t>LATC_7</t>
  </si>
  <si>
    <t>LATC_8</t>
  </si>
  <si>
    <t>TRISC</t>
  </si>
  <si>
    <t>LATD_1</t>
  </si>
  <si>
    <t>DPTR</t>
  </si>
  <si>
    <t>TRISD</t>
  </si>
  <si>
    <t>LATD_2</t>
  </si>
  <si>
    <t>LATD_3</t>
  </si>
  <si>
    <t>LATD_4</t>
  </si>
  <si>
    <t>LATC</t>
  </si>
  <si>
    <t>LATD_5</t>
  </si>
  <si>
    <t>LATD</t>
  </si>
  <si>
    <t>LATD_6</t>
  </si>
  <si>
    <t>LATD_7</t>
  </si>
  <si>
    <t>LATD_8</t>
  </si>
  <si>
    <t>PRTC_1</t>
  </si>
  <si>
    <t>PRTC_2</t>
  </si>
  <si>
    <t>PRTC_3</t>
  </si>
  <si>
    <t>PRTC_4</t>
  </si>
  <si>
    <t>PRTC_5</t>
  </si>
  <si>
    <t>PRTC_6</t>
  </si>
  <si>
    <t>PRTC_7</t>
  </si>
  <si>
    <t>PRTA</t>
  </si>
  <si>
    <t>PRTC_8</t>
  </si>
  <si>
    <t>PRTB</t>
  </si>
  <si>
    <t>PRTD_1</t>
  </si>
  <si>
    <t>PRTC</t>
  </si>
  <si>
    <t>PRTD_2</t>
  </si>
  <si>
    <t>PRTD</t>
  </si>
  <si>
    <t>PRTD_3</t>
  </si>
  <si>
    <t>PRTD_4</t>
  </si>
  <si>
    <t>PRTD_5</t>
  </si>
  <si>
    <t>PRTD_6</t>
  </si>
  <si>
    <t>PRTD_7</t>
  </si>
  <si>
    <t>PRTD_8</t>
  </si>
  <si>
    <t>X</t>
  </si>
  <si>
    <t>1Cycle</t>
  </si>
  <si>
    <t>2 Cycle</t>
  </si>
  <si>
    <t>3 Cycle</t>
  </si>
  <si>
    <t>Specific cases</t>
  </si>
  <si>
    <t>Dec</t>
  </si>
  <si>
    <t>Bin</t>
  </si>
  <si>
    <t>NOP</t>
  </si>
  <si>
    <t>nothing</t>
  </si>
  <si>
    <t>JMPF</t>
  </si>
  <si>
    <t>Offset forward</t>
  </si>
  <si>
    <t>JMPA</t>
  </si>
  <si>
    <t>Jmp to address</t>
  </si>
  <si>
    <t>CJNZ</t>
  </si>
  <si>
    <t>Ofsset is Read bit = 1</t>
  </si>
  <si>
    <t>RETI</t>
  </si>
  <si>
    <t>Return from interrupt</t>
  </si>
  <si>
    <t>JMPB</t>
  </si>
  <si>
    <t>Offset back</t>
  </si>
  <si>
    <t>MOV</t>
  </si>
  <si>
    <t>reg to reg</t>
  </si>
  <si>
    <t>MOVX</t>
  </si>
  <si>
    <t>DPTR ADD to Reg</t>
  </si>
  <si>
    <t>MOVR</t>
  </si>
  <si>
    <t>Program memory to reg (small add)</t>
  </si>
  <si>
    <t>SETB</t>
  </si>
  <si>
    <t>SetB to 1</t>
  </si>
  <si>
    <t>MOVD</t>
  </si>
  <si>
    <t>Data to reg</t>
  </si>
  <si>
    <t>CLRB</t>
  </si>
  <si>
    <t>set to 0</t>
  </si>
  <si>
    <t>AJZ</t>
  </si>
  <si>
    <t>Jump to address if zero</t>
  </si>
  <si>
    <t>JZ</t>
  </si>
  <si>
    <t>offset</t>
  </si>
  <si>
    <t>AJN</t>
  </si>
  <si>
    <t>Negative</t>
  </si>
  <si>
    <t>JN</t>
  </si>
  <si>
    <t>AJL</t>
  </si>
  <si>
    <t>A&gt;B</t>
  </si>
  <si>
    <t>JL</t>
  </si>
  <si>
    <t>AJC</t>
  </si>
  <si>
    <t>Carry</t>
  </si>
  <si>
    <t>JC</t>
  </si>
  <si>
    <t>AJE</t>
  </si>
  <si>
    <t>A=B</t>
  </si>
  <si>
    <t>JE</t>
  </si>
  <si>
    <t>Alu Flags</t>
  </si>
  <si>
    <t>Zero</t>
  </si>
  <si>
    <t>negative</t>
  </si>
  <si>
    <t>a</t>
  </si>
  <si>
    <t>f</t>
  </si>
  <si>
    <t>b</t>
  </si>
  <si>
    <t>g</t>
  </si>
  <si>
    <t>e</t>
  </si>
  <si>
    <t>c</t>
  </si>
  <si>
    <t>Num vs Byte</t>
  </si>
  <si>
    <t>DEC</t>
  </si>
  <si>
    <t>d</t>
  </si>
  <si>
    <t>dp</t>
  </si>
  <si>
    <t>0000</t>
  </si>
  <si>
    <t>DPTRA</t>
  </si>
  <si>
    <t>DPTRB</t>
  </si>
  <si>
    <t>IR1</t>
  </si>
  <si>
    <t>IR2</t>
  </si>
  <si>
    <t>IR_1</t>
  </si>
  <si>
    <t>IR_2</t>
  </si>
  <si>
    <t>INC_IR1</t>
  </si>
  <si>
    <t>INC_IR2</t>
  </si>
  <si>
    <t>RX_BUF</t>
  </si>
  <si>
    <t>T</t>
  </si>
  <si>
    <t>Left</t>
  </si>
  <si>
    <t>Righ</t>
  </si>
  <si>
    <t>R5</t>
  </si>
  <si>
    <t>R6</t>
  </si>
  <si>
    <t>R7</t>
  </si>
  <si>
    <t>R8</t>
  </si>
  <si>
    <t>ACALL</t>
  </si>
  <si>
    <t>Move and Jmp Back</t>
  </si>
  <si>
    <t>ARET</t>
  </si>
  <si>
    <t>Return from ACALL</t>
  </si>
  <si>
    <t>R_1</t>
  </si>
  <si>
    <t>R_2</t>
  </si>
  <si>
    <t>R_3</t>
  </si>
  <si>
    <t>R_4</t>
  </si>
  <si>
    <t>R_5</t>
  </si>
  <si>
    <t>R_6</t>
  </si>
  <si>
    <t>R_7</t>
  </si>
  <si>
    <t>R_8</t>
  </si>
  <si>
    <t>0011</t>
  </si>
  <si>
    <t>0010</t>
  </si>
  <si>
    <t>0001</t>
  </si>
  <si>
    <t>0110</t>
  </si>
  <si>
    <t>0100</t>
  </si>
  <si>
    <t>0101</t>
  </si>
  <si>
    <t>DP_DLE</t>
  </si>
  <si>
    <t>MARB</t>
  </si>
  <si>
    <t>MARC</t>
  </si>
  <si>
    <t>INC_DPTR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</si>
</sst>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;[Red]\-&quot;R&quot;#,##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2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164" fontId="0" fillId="4" borderId="8" xfId="0" applyNumberFormat="1" applyFill="1" applyBorder="1" applyAlignment="1">
      <alignment horizontal="center" vertical="center" wrapText="1"/>
    </xf>
    <xf numFmtId="164" fontId="0" fillId="4" borderId="27" xfId="0" applyNumberFormat="1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6" borderId="27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textRotation="135"/>
    </xf>
    <xf numFmtId="0" fontId="0" fillId="0" borderId="37" xfId="0" applyBorder="1"/>
    <xf numFmtId="0" fontId="0" fillId="0" borderId="39" xfId="0" applyBorder="1"/>
    <xf numFmtId="0" fontId="0" fillId="0" borderId="38" xfId="0" applyBorder="1"/>
    <xf numFmtId="0" fontId="0" fillId="0" borderId="32" xfId="0" applyBorder="1" applyAlignment="1">
      <alignment vertical="center" textRotation="180" wrapText="1"/>
    </xf>
    <xf numFmtId="0" fontId="0" fillId="7" borderId="8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3" borderId="41" xfId="0" applyFill="1" applyBorder="1" applyAlignment="1">
      <alignment horizontal="center" vertical="center" wrapText="1"/>
    </xf>
    <xf numFmtId="0" fontId="5" fillId="0" borderId="0" xfId="0" applyFont="1"/>
    <xf numFmtId="0" fontId="0" fillId="2" borderId="0" xfId="0" applyFill="1"/>
    <xf numFmtId="0" fontId="0" fillId="0" borderId="0" xfId="0" applyAlignment="1">
      <alignment vertical="center" textRotation="180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0" xfId="0" quotePrefix="1"/>
    <xf numFmtId="0" fontId="0" fillId="0" borderId="27" xfId="0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17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164" fontId="0" fillId="8" borderId="0" xfId="0" applyNumberForma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164" fontId="0" fillId="8" borderId="8" xfId="0" applyNumberFormat="1" applyFill="1" applyBorder="1" applyAlignment="1">
      <alignment horizontal="center" vertical="center" wrapText="1"/>
    </xf>
    <xf numFmtId="164" fontId="0" fillId="8" borderId="27" xfId="0" applyNumberForma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27" xfId="0" applyFill="1" applyBorder="1" applyAlignment="1">
      <alignment horizontal="center" vertical="center" wrapText="1"/>
    </xf>
    <xf numFmtId="0" fontId="0" fillId="8" borderId="41" xfId="0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29" xfId="0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 textRotation="90" wrapText="1"/>
    </xf>
    <xf numFmtId="0" fontId="0" fillId="0" borderId="10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180" wrapText="1"/>
    </xf>
    <xf numFmtId="0" fontId="0" fillId="0" borderId="22" xfId="0" applyBorder="1" applyAlignment="1">
      <alignment horizontal="center" vertical="center" textRotation="180" wrapText="1"/>
    </xf>
    <xf numFmtId="0" fontId="0" fillId="0" borderId="35" xfId="0" applyBorder="1" applyAlignment="1">
      <alignment horizontal="center" vertical="center" textRotation="180" wrapText="1"/>
    </xf>
    <xf numFmtId="0" fontId="0" fillId="0" borderId="36" xfId="0" applyBorder="1" applyAlignment="1">
      <alignment horizontal="center" vertical="center" textRotation="180" wrapText="1"/>
    </xf>
    <xf numFmtId="0" fontId="0" fillId="0" borderId="26" xfId="0" applyBorder="1" applyAlignment="1">
      <alignment horizontal="center" vertical="center" textRotation="180" wrapText="1"/>
    </xf>
    <xf numFmtId="0" fontId="0" fillId="0" borderId="7" xfId="0" applyBorder="1" applyAlignment="1">
      <alignment horizontal="center" vertical="center" textRotation="180" wrapText="1"/>
    </xf>
    <xf numFmtId="0" fontId="0" fillId="0" borderId="9" xfId="0" applyBorder="1" applyAlignment="1">
      <alignment horizontal="center" vertical="center" textRotation="180" wrapText="1"/>
    </xf>
    <xf numFmtId="0" fontId="0" fillId="0" borderId="34" xfId="0" applyBorder="1" applyAlignment="1">
      <alignment horizontal="center" vertical="center" textRotation="180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textRotation="180" wrapText="1"/>
    </xf>
    <xf numFmtId="0" fontId="0" fillId="0" borderId="2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2089C-189E-487C-85AA-267F66532790}">
  <dimension ref="B1:O47"/>
  <sheetViews>
    <sheetView tabSelected="1" zoomScale="85" zoomScaleNormal="85" workbookViewId="0">
      <pane xSplit="3" topLeftCell="D1" activePane="topRight" state="frozen"/>
      <selection pane="topRight" activeCell="E18" sqref="E18"/>
    </sheetView>
  </sheetViews>
  <sheetFormatPr defaultColWidth="8.85546875" defaultRowHeight="15" x14ac:dyDescent="0.25"/>
  <cols>
    <col min="1" max="1" width="8.85546875" style="2"/>
    <col min="2" max="2" width="11.140625" style="2" bestFit="1" customWidth="1"/>
    <col min="3" max="3" width="11.140625" style="2" customWidth="1"/>
    <col min="4" max="4" width="9.28515625" style="2" customWidth="1"/>
    <col min="5" max="5" width="11.85546875" style="2" customWidth="1"/>
    <col min="6" max="6" width="13.7109375" style="2" customWidth="1"/>
    <col min="7" max="7" width="9.85546875" style="2" customWidth="1"/>
    <col min="8" max="8" width="8.85546875" style="2"/>
    <col min="9" max="9" width="14.42578125" style="2" bestFit="1" customWidth="1"/>
    <col min="10" max="10" width="8.85546875" style="2"/>
    <col min="11" max="11" width="16.28515625" style="2" customWidth="1"/>
    <col min="12" max="12" width="10" style="2" customWidth="1"/>
    <col min="13" max="13" width="8.85546875" style="2"/>
    <col min="14" max="14" width="10" style="2" bestFit="1" customWidth="1"/>
    <col min="15" max="16384" width="8.85546875" style="2"/>
  </cols>
  <sheetData>
    <row r="1" spans="2:15" ht="15.75" thickBot="1" x14ac:dyDescent="0.3"/>
    <row r="2" spans="2:15" ht="15" customHeight="1" thickBot="1" x14ac:dyDescent="0.3">
      <c r="B2" s="90" t="s">
        <v>0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</row>
    <row r="3" spans="2:15" ht="14.45" customHeight="1" x14ac:dyDescent="0.25">
      <c r="B3" s="93" t="s">
        <v>1</v>
      </c>
      <c r="C3" s="94"/>
      <c r="D3" s="17" t="s">
        <v>2</v>
      </c>
      <c r="E3" s="95" t="s">
        <v>3</v>
      </c>
      <c r="F3" s="96"/>
      <c r="G3" s="95" t="s">
        <v>4</v>
      </c>
      <c r="H3" s="97"/>
      <c r="I3" s="17" t="s">
        <v>5</v>
      </c>
      <c r="J3" s="95" t="s">
        <v>6</v>
      </c>
      <c r="K3" s="96"/>
      <c r="L3" s="98" t="s">
        <v>7</v>
      </c>
      <c r="M3" s="99"/>
      <c r="N3" s="95" t="s">
        <v>8</v>
      </c>
      <c r="O3" s="96"/>
    </row>
    <row r="4" spans="2:15" ht="14.45" customHeight="1" x14ac:dyDescent="0.25">
      <c r="B4" s="100" t="s">
        <v>9</v>
      </c>
      <c r="C4" s="101"/>
      <c r="D4" s="18">
        <v>0</v>
      </c>
      <c r="E4" s="100">
        <v>1</v>
      </c>
      <c r="F4" s="102"/>
      <c r="G4" s="100">
        <v>10</v>
      </c>
      <c r="H4" s="101"/>
      <c r="I4" s="18">
        <v>11</v>
      </c>
      <c r="J4" s="100">
        <v>100</v>
      </c>
      <c r="K4" s="102"/>
      <c r="L4" s="18">
        <v>101</v>
      </c>
      <c r="M4" s="2">
        <v>110</v>
      </c>
      <c r="N4" s="32">
        <v>111</v>
      </c>
      <c r="O4" s="81"/>
    </row>
    <row r="5" spans="2:15" ht="15.75" thickBot="1" x14ac:dyDescent="0.3">
      <c r="B5" s="103" t="s">
        <v>10</v>
      </c>
      <c r="C5" s="104"/>
      <c r="D5" s="33" t="s">
        <v>11</v>
      </c>
      <c r="E5" s="49" t="s">
        <v>11</v>
      </c>
      <c r="F5" s="50" t="s">
        <v>12</v>
      </c>
      <c r="G5" s="82" t="s">
        <v>11</v>
      </c>
      <c r="H5" s="83" t="s">
        <v>12</v>
      </c>
      <c r="I5" s="33" t="s">
        <v>11</v>
      </c>
      <c r="J5" s="82" t="s">
        <v>11</v>
      </c>
      <c r="K5" s="87" t="s">
        <v>12</v>
      </c>
      <c r="L5" s="33" t="s">
        <v>11</v>
      </c>
      <c r="M5" s="33" t="s">
        <v>11</v>
      </c>
      <c r="N5" s="82" t="s">
        <v>11</v>
      </c>
      <c r="O5" s="87" t="s">
        <v>12</v>
      </c>
    </row>
    <row r="6" spans="2:15" ht="14.45" customHeight="1" x14ac:dyDescent="0.25">
      <c r="B6" s="106" t="s">
        <v>13</v>
      </c>
      <c r="C6" s="77">
        <v>0</v>
      </c>
      <c r="D6" s="59" t="s">
        <v>14</v>
      </c>
      <c r="E6" s="68" t="s">
        <v>15</v>
      </c>
      <c r="F6" s="109" t="s">
        <v>16</v>
      </c>
      <c r="G6" s="66" t="s">
        <v>17</v>
      </c>
      <c r="H6" s="111" t="s">
        <v>18</v>
      </c>
      <c r="I6" s="59" t="s">
        <v>19</v>
      </c>
      <c r="J6" s="64">
        <v>1</v>
      </c>
      <c r="K6" s="113" t="s">
        <v>20</v>
      </c>
      <c r="L6" s="59" t="s">
        <v>21</v>
      </c>
      <c r="M6" s="59" t="s">
        <v>22</v>
      </c>
      <c r="N6" s="66" t="s">
        <v>23</v>
      </c>
      <c r="O6" s="114" t="s">
        <v>24</v>
      </c>
    </row>
    <row r="7" spans="2:15" x14ac:dyDescent="0.25">
      <c r="B7" s="107"/>
      <c r="C7" s="80">
        <v>1</v>
      </c>
      <c r="D7" s="59" t="s">
        <v>25</v>
      </c>
      <c r="E7" s="66" t="s">
        <v>26</v>
      </c>
      <c r="F7" s="109"/>
      <c r="G7" s="66" t="s">
        <v>27</v>
      </c>
      <c r="H7" s="112"/>
      <c r="I7" s="59" t="s">
        <v>28</v>
      </c>
      <c r="J7" s="64">
        <v>2</v>
      </c>
      <c r="K7" s="109"/>
      <c r="L7" s="59" t="s">
        <v>29</v>
      </c>
      <c r="M7" s="59" t="s">
        <v>30</v>
      </c>
      <c r="N7" s="66" t="s">
        <v>31</v>
      </c>
      <c r="O7" s="115"/>
    </row>
    <row r="8" spans="2:15" x14ac:dyDescent="0.25">
      <c r="B8" s="107"/>
      <c r="C8" s="80">
        <v>10</v>
      </c>
      <c r="D8" s="59" t="s">
        <v>32</v>
      </c>
      <c r="E8" s="66" t="s">
        <v>33</v>
      </c>
      <c r="F8" s="109"/>
      <c r="G8" s="66" t="s">
        <v>34</v>
      </c>
      <c r="H8" s="112"/>
      <c r="I8" s="59" t="s">
        <v>35</v>
      </c>
      <c r="J8" s="64">
        <v>3</v>
      </c>
      <c r="K8" s="109"/>
      <c r="L8" s="59" t="s">
        <v>36</v>
      </c>
      <c r="M8" s="59" t="s">
        <v>37</v>
      </c>
      <c r="N8" s="66" t="s">
        <v>38</v>
      </c>
      <c r="O8" s="115"/>
    </row>
    <row r="9" spans="2:15" x14ac:dyDescent="0.25">
      <c r="B9" s="107"/>
      <c r="C9" s="80">
        <v>11</v>
      </c>
      <c r="D9" s="59" t="s">
        <v>39</v>
      </c>
      <c r="E9" s="66" t="s">
        <v>40</v>
      </c>
      <c r="F9" s="109"/>
      <c r="G9" s="67" t="s">
        <v>15</v>
      </c>
      <c r="H9" s="112"/>
      <c r="I9" s="59" t="s">
        <v>41</v>
      </c>
      <c r="J9" s="65">
        <v>4</v>
      </c>
      <c r="K9" s="109"/>
      <c r="L9" s="59" t="s">
        <v>42</v>
      </c>
      <c r="M9" s="59" t="s">
        <v>43</v>
      </c>
      <c r="N9" s="66" t="s">
        <v>44</v>
      </c>
      <c r="O9" s="115"/>
    </row>
    <row r="10" spans="2:15" ht="15.75" thickBot="1" x14ac:dyDescent="0.3">
      <c r="B10" s="107"/>
      <c r="C10" s="80">
        <v>100</v>
      </c>
      <c r="D10" s="59" t="s">
        <v>45</v>
      </c>
      <c r="E10" s="70" t="s">
        <v>46</v>
      </c>
      <c r="F10" s="110"/>
      <c r="G10" s="66" t="s">
        <v>47</v>
      </c>
      <c r="H10" s="112"/>
      <c r="I10" s="59" t="s">
        <v>48</v>
      </c>
      <c r="J10" s="66" t="s">
        <v>49</v>
      </c>
      <c r="K10" s="109" t="s">
        <v>50</v>
      </c>
      <c r="L10" s="59" t="s">
        <v>51</v>
      </c>
      <c r="M10" s="59" t="s">
        <v>52</v>
      </c>
      <c r="N10" s="67" t="s">
        <v>53</v>
      </c>
      <c r="O10" s="116"/>
    </row>
    <row r="11" spans="2:15" ht="14.45" customHeight="1" x14ac:dyDescent="0.25">
      <c r="B11" s="107"/>
      <c r="C11" s="80">
        <v>101</v>
      </c>
      <c r="D11" s="59" t="s">
        <v>54</v>
      </c>
      <c r="E11" s="66" t="s">
        <v>55</v>
      </c>
      <c r="F11" s="117" t="s">
        <v>56</v>
      </c>
      <c r="G11" s="66" t="s">
        <v>57</v>
      </c>
      <c r="H11" s="112"/>
      <c r="I11" s="59" t="s">
        <v>58</v>
      </c>
      <c r="J11" s="67" t="s">
        <v>50</v>
      </c>
      <c r="K11" s="109"/>
      <c r="L11" s="59" t="s">
        <v>59</v>
      </c>
      <c r="M11" s="59" t="s">
        <v>60</v>
      </c>
      <c r="N11" s="8"/>
      <c r="O11" s="114"/>
    </row>
    <row r="12" spans="2:15" x14ac:dyDescent="0.25">
      <c r="B12" s="107"/>
      <c r="C12" s="80">
        <v>110</v>
      </c>
      <c r="D12" s="59" t="s">
        <v>61</v>
      </c>
      <c r="E12" s="66" t="s">
        <v>62</v>
      </c>
      <c r="F12" s="118"/>
      <c r="G12" s="66" t="s">
        <v>63</v>
      </c>
      <c r="H12" s="112"/>
      <c r="I12" s="59" t="s">
        <v>64</v>
      </c>
      <c r="J12" s="66" t="s">
        <v>65</v>
      </c>
      <c r="K12" s="102" t="s">
        <v>66</v>
      </c>
      <c r="L12" s="59" t="s">
        <v>67</v>
      </c>
      <c r="M12" s="59" t="s">
        <v>68</v>
      </c>
      <c r="N12" s="8"/>
      <c r="O12" s="115"/>
    </row>
    <row r="13" spans="2:15" x14ac:dyDescent="0.25">
      <c r="B13" s="107"/>
      <c r="C13" s="80">
        <v>111</v>
      </c>
      <c r="D13" s="59" t="s">
        <v>69</v>
      </c>
      <c r="E13" s="66" t="s">
        <v>70</v>
      </c>
      <c r="F13" s="118"/>
      <c r="G13" s="67" t="s">
        <v>26</v>
      </c>
      <c r="H13" s="113"/>
      <c r="I13" s="60" t="s">
        <v>71</v>
      </c>
      <c r="J13" s="66" t="s">
        <v>72</v>
      </c>
      <c r="K13" s="102"/>
      <c r="L13" s="59" t="s">
        <v>73</v>
      </c>
      <c r="M13" s="59" t="s">
        <v>74</v>
      </c>
      <c r="N13" s="8"/>
      <c r="O13" s="115"/>
    </row>
    <row r="14" spans="2:15" ht="16.5" customHeight="1" thickBot="1" x14ac:dyDescent="0.3">
      <c r="B14" s="107"/>
      <c r="C14" s="80">
        <v>1000</v>
      </c>
      <c r="D14" s="59" t="s">
        <v>75</v>
      </c>
      <c r="E14" s="70" t="s">
        <v>76</v>
      </c>
      <c r="F14" s="119"/>
      <c r="G14" s="69" t="s">
        <v>77</v>
      </c>
      <c r="H14" s="120" t="s">
        <v>78</v>
      </c>
      <c r="I14" s="59" t="s">
        <v>79</v>
      </c>
      <c r="J14" s="66" t="s">
        <v>268</v>
      </c>
      <c r="K14" s="102"/>
      <c r="L14" s="59" t="s">
        <v>80</v>
      </c>
      <c r="M14" s="59" t="s">
        <v>81</v>
      </c>
      <c r="N14" s="8"/>
      <c r="O14" s="115"/>
    </row>
    <row r="15" spans="2:15" x14ac:dyDescent="0.25">
      <c r="B15" s="107"/>
      <c r="C15" s="80">
        <v>1001</v>
      </c>
      <c r="D15" s="59" t="s">
        <v>82</v>
      </c>
      <c r="E15" s="71" t="s">
        <v>256</v>
      </c>
      <c r="F15" s="117"/>
      <c r="G15" s="69" t="s">
        <v>84</v>
      </c>
      <c r="H15" s="115"/>
      <c r="I15" s="59" t="s">
        <v>85</v>
      </c>
      <c r="J15" s="66" t="s">
        <v>269</v>
      </c>
      <c r="K15" s="102"/>
      <c r="L15" s="59" t="s">
        <v>86</v>
      </c>
      <c r="M15" s="59" t="s">
        <v>87</v>
      </c>
      <c r="N15" s="58"/>
      <c r="O15" s="116"/>
    </row>
    <row r="16" spans="2:15" ht="15" customHeight="1" thickBot="1" x14ac:dyDescent="0.3">
      <c r="B16" s="107"/>
      <c r="C16" s="80">
        <v>1010</v>
      </c>
      <c r="D16" s="59" t="s">
        <v>88</v>
      </c>
      <c r="E16" s="72" t="s">
        <v>257</v>
      </c>
      <c r="F16" s="119"/>
      <c r="G16" s="69" t="s">
        <v>90</v>
      </c>
      <c r="H16" s="115"/>
      <c r="I16" s="59" t="s">
        <v>91</v>
      </c>
      <c r="J16" s="66" t="s">
        <v>92</v>
      </c>
      <c r="K16" s="102" t="s">
        <v>93</v>
      </c>
      <c r="L16" s="59" t="s">
        <v>94</v>
      </c>
      <c r="M16" s="59" t="s">
        <v>95</v>
      </c>
      <c r="O16" s="9"/>
    </row>
    <row r="17" spans="2:15" x14ac:dyDescent="0.25">
      <c r="B17" s="107"/>
      <c r="C17" s="80">
        <v>1011</v>
      </c>
      <c r="D17" s="59" t="s">
        <v>96</v>
      </c>
      <c r="E17" s="2" t="s">
        <v>293</v>
      </c>
      <c r="G17" s="69" t="s">
        <v>33</v>
      </c>
      <c r="H17" s="115"/>
      <c r="I17" s="59" t="s">
        <v>97</v>
      </c>
      <c r="J17" s="66" t="s">
        <v>98</v>
      </c>
      <c r="K17" s="102"/>
      <c r="L17" s="59" t="s">
        <v>99</v>
      </c>
      <c r="M17" s="59" t="s">
        <v>100</v>
      </c>
      <c r="N17" s="8"/>
      <c r="O17" s="9"/>
    </row>
    <row r="18" spans="2:15" ht="16.5" customHeight="1" x14ac:dyDescent="0.25">
      <c r="B18" s="107"/>
      <c r="C18" s="80">
        <v>1100</v>
      </c>
      <c r="D18" s="59" t="s">
        <v>101</v>
      </c>
      <c r="E18" s="71" t="s">
        <v>262</v>
      </c>
      <c r="G18" s="66" t="s">
        <v>102</v>
      </c>
      <c r="H18" s="115"/>
      <c r="I18" s="59" t="s">
        <v>103</v>
      </c>
      <c r="J18" s="66" t="s">
        <v>270</v>
      </c>
      <c r="K18" s="102"/>
      <c r="L18" s="59" t="s">
        <v>104</v>
      </c>
      <c r="M18" s="59" t="s">
        <v>105</v>
      </c>
      <c r="N18" s="8"/>
      <c r="O18" s="9"/>
    </row>
    <row r="19" spans="2:15" x14ac:dyDescent="0.25">
      <c r="B19" s="107"/>
      <c r="C19" s="80">
        <v>1101</v>
      </c>
      <c r="D19" s="59" t="s">
        <v>106</v>
      </c>
      <c r="E19" s="71" t="s">
        <v>263</v>
      </c>
      <c r="G19" s="66" t="s">
        <v>107</v>
      </c>
      <c r="H19" s="115"/>
      <c r="I19" s="59" t="s">
        <v>108</v>
      </c>
      <c r="J19" s="67" t="s">
        <v>271</v>
      </c>
      <c r="K19" s="102"/>
      <c r="L19" s="59" t="s">
        <v>109</v>
      </c>
      <c r="M19" s="59" t="s">
        <v>110</v>
      </c>
      <c r="N19" s="8"/>
      <c r="O19" s="9"/>
    </row>
    <row r="20" spans="2:15" ht="18" customHeight="1" thickBot="1" x14ac:dyDescent="0.3">
      <c r="B20" s="107"/>
      <c r="C20" s="80">
        <v>1110</v>
      </c>
      <c r="D20" s="84"/>
      <c r="E20" s="2" t="s">
        <v>291</v>
      </c>
      <c r="G20" s="70" t="s">
        <v>40</v>
      </c>
      <c r="H20" s="116"/>
      <c r="I20" s="59" t="s">
        <v>111</v>
      </c>
      <c r="J20" s="71" t="s">
        <v>258</v>
      </c>
      <c r="L20" s="59" t="s">
        <v>112</v>
      </c>
      <c r="M20" s="59" t="s">
        <v>113</v>
      </c>
      <c r="N20" s="8"/>
      <c r="O20" s="9"/>
    </row>
    <row r="21" spans="2:15" ht="15.75" thickBot="1" x14ac:dyDescent="0.3">
      <c r="B21" s="108"/>
      <c r="C21" s="80">
        <v>1111</v>
      </c>
      <c r="D21" s="19"/>
      <c r="E21" s="2" t="s">
        <v>292</v>
      </c>
      <c r="H21" s="46"/>
      <c r="I21" s="61" t="s">
        <v>114</v>
      </c>
      <c r="J21" s="71" t="s">
        <v>259</v>
      </c>
      <c r="K21" s="10"/>
      <c r="L21" s="61" t="s">
        <v>115</v>
      </c>
      <c r="M21" s="70" t="s">
        <v>116</v>
      </c>
      <c r="N21" s="31"/>
      <c r="O21" s="10"/>
    </row>
    <row r="22" spans="2:15" ht="15.75" thickBot="1" x14ac:dyDescent="0.3">
      <c r="D22" s="2" t="s">
        <v>117</v>
      </c>
      <c r="E22" s="105"/>
      <c r="F22" s="105"/>
      <c r="G22" s="105"/>
      <c r="H22" s="105"/>
      <c r="I22" s="2" t="s">
        <v>117</v>
      </c>
      <c r="J22" s="105"/>
      <c r="K22" s="105"/>
      <c r="L22" s="2" t="s">
        <v>117</v>
      </c>
      <c r="N22" s="105" t="s">
        <v>117</v>
      </c>
      <c r="O22" s="105"/>
    </row>
    <row r="23" spans="2:15" ht="15" customHeight="1" thickBot="1" x14ac:dyDescent="0.3">
      <c r="B23" s="90" t="s">
        <v>118</v>
      </c>
      <c r="C23" s="91"/>
      <c r="D23" s="91"/>
      <c r="E23" s="91"/>
      <c r="F23" s="91"/>
      <c r="G23" s="91"/>
      <c r="H23" s="92"/>
      <c r="I23" s="6"/>
      <c r="J23" s="6"/>
      <c r="K23" s="6"/>
      <c r="L23" s="6"/>
      <c r="M23" s="6"/>
    </row>
    <row r="24" spans="2:15" ht="30" x14ac:dyDescent="0.25">
      <c r="B24" s="95" t="s">
        <v>1</v>
      </c>
      <c r="C24" s="97"/>
      <c r="D24" s="78" t="s">
        <v>119</v>
      </c>
      <c r="E24" s="17" t="s">
        <v>120</v>
      </c>
      <c r="F24" s="35" t="s">
        <v>121</v>
      </c>
      <c r="G24" s="79" t="s">
        <v>122</v>
      </c>
      <c r="H24" s="55" t="s">
        <v>123</v>
      </c>
    </row>
    <row r="25" spans="2:15" x14ac:dyDescent="0.25">
      <c r="B25" s="121" t="s">
        <v>9</v>
      </c>
      <c r="C25" s="122"/>
      <c r="D25" s="85">
        <v>0</v>
      </c>
      <c r="E25" s="18">
        <v>1</v>
      </c>
      <c r="F25" s="18">
        <v>10</v>
      </c>
      <c r="G25" s="86">
        <v>11</v>
      </c>
      <c r="H25" s="18">
        <v>100</v>
      </c>
    </row>
    <row r="26" spans="2:15" ht="15.75" thickBot="1" x14ac:dyDescent="0.3">
      <c r="B26" s="103" t="s">
        <v>10</v>
      </c>
      <c r="C26" s="104"/>
      <c r="D26" s="34" t="s">
        <v>11</v>
      </c>
      <c r="E26" s="33" t="s">
        <v>11</v>
      </c>
      <c r="F26" s="33"/>
      <c r="G26" s="56"/>
      <c r="H26" s="33"/>
    </row>
    <row r="27" spans="2:15" x14ac:dyDescent="0.25">
      <c r="B27" s="107" t="s">
        <v>13</v>
      </c>
      <c r="C27" s="11">
        <v>0</v>
      </c>
      <c r="D27" s="63" t="s">
        <v>14</v>
      </c>
      <c r="E27" s="59" t="s">
        <v>19</v>
      </c>
      <c r="F27" s="59" t="s">
        <v>124</v>
      </c>
      <c r="G27" s="8"/>
      <c r="H27" s="59" t="s">
        <v>125</v>
      </c>
      <c r="I27" s="54"/>
    </row>
    <row r="28" spans="2:15" x14ac:dyDescent="0.25">
      <c r="B28" s="107"/>
      <c r="C28" s="81">
        <v>1</v>
      </c>
      <c r="D28" s="71" t="s">
        <v>2</v>
      </c>
      <c r="E28" s="59" t="s">
        <v>28</v>
      </c>
      <c r="F28" s="59" t="s">
        <v>126</v>
      </c>
      <c r="G28" s="8"/>
      <c r="H28" s="59" t="s">
        <v>127</v>
      </c>
      <c r="I28" s="54"/>
    </row>
    <row r="29" spans="2:15" x14ac:dyDescent="0.25">
      <c r="B29" s="107"/>
      <c r="C29" s="81">
        <v>10</v>
      </c>
      <c r="D29" s="71" t="s">
        <v>50</v>
      </c>
      <c r="E29" s="59" t="s">
        <v>35</v>
      </c>
      <c r="F29" s="59" t="s">
        <v>128</v>
      </c>
      <c r="G29" s="8"/>
      <c r="H29" s="59" t="s">
        <v>129</v>
      </c>
      <c r="I29" s="54"/>
    </row>
    <row r="30" spans="2:15" x14ac:dyDescent="0.25">
      <c r="B30" s="107"/>
      <c r="C30" s="81">
        <v>11</v>
      </c>
      <c r="D30" s="62" t="s">
        <v>276</v>
      </c>
      <c r="E30" s="59" t="s">
        <v>41</v>
      </c>
      <c r="F30" s="59" t="s">
        <v>130</v>
      </c>
      <c r="G30" s="8"/>
      <c r="H30" s="59" t="s">
        <v>131</v>
      </c>
      <c r="I30" s="54"/>
    </row>
    <row r="31" spans="2:15" x14ac:dyDescent="0.25">
      <c r="B31" s="107"/>
      <c r="C31" s="81">
        <v>100</v>
      </c>
      <c r="D31" s="62" t="s">
        <v>277</v>
      </c>
      <c r="E31" s="59" t="s">
        <v>48</v>
      </c>
      <c r="F31" s="59" t="s">
        <v>132</v>
      </c>
      <c r="G31" s="8"/>
      <c r="H31" s="59" t="s">
        <v>133</v>
      </c>
      <c r="I31" s="54"/>
    </row>
    <row r="32" spans="2:15" ht="15.75" thickBot="1" x14ac:dyDescent="0.3">
      <c r="B32" s="107"/>
      <c r="C32" s="81">
        <v>101</v>
      </c>
      <c r="D32" s="62" t="s">
        <v>278</v>
      </c>
      <c r="E32" s="59" t="s">
        <v>58</v>
      </c>
      <c r="F32" s="59" t="s">
        <v>134</v>
      </c>
      <c r="G32" s="8"/>
      <c r="H32" s="61" t="s">
        <v>135</v>
      </c>
      <c r="I32" s="54"/>
    </row>
    <row r="33" spans="2:8" x14ac:dyDescent="0.25">
      <c r="B33" s="107"/>
      <c r="C33" s="81">
        <v>110</v>
      </c>
      <c r="D33" s="62" t="s">
        <v>279</v>
      </c>
      <c r="E33" s="59" t="s">
        <v>64</v>
      </c>
      <c r="F33" s="59" t="s">
        <v>136</v>
      </c>
      <c r="G33" s="8"/>
      <c r="H33" s="7" t="s">
        <v>290</v>
      </c>
    </row>
    <row r="34" spans="2:8" x14ac:dyDescent="0.25">
      <c r="B34" s="107"/>
      <c r="C34" s="81">
        <v>111</v>
      </c>
      <c r="D34" s="71" t="s">
        <v>137</v>
      </c>
      <c r="E34" s="60" t="s">
        <v>71</v>
      </c>
      <c r="F34" s="60" t="s">
        <v>138</v>
      </c>
      <c r="G34" s="58"/>
      <c r="H34" s="7"/>
    </row>
    <row r="35" spans="2:8" x14ac:dyDescent="0.25">
      <c r="B35" s="107"/>
      <c r="C35" s="81">
        <v>1000</v>
      </c>
      <c r="D35" s="71" t="s">
        <v>139</v>
      </c>
      <c r="E35" s="59" t="s">
        <v>79</v>
      </c>
      <c r="F35" s="59" t="s">
        <v>140</v>
      </c>
      <c r="G35" s="8"/>
      <c r="H35" s="7"/>
    </row>
    <row r="36" spans="2:8" x14ac:dyDescent="0.25">
      <c r="B36" s="107"/>
      <c r="C36" s="81">
        <v>1001</v>
      </c>
      <c r="D36" s="62" t="s">
        <v>280</v>
      </c>
      <c r="E36" s="59" t="s">
        <v>85</v>
      </c>
      <c r="F36" s="59" t="s">
        <v>141</v>
      </c>
      <c r="G36" s="8"/>
      <c r="H36" s="7"/>
    </row>
    <row r="37" spans="2:8" x14ac:dyDescent="0.25">
      <c r="B37" s="107"/>
      <c r="C37" s="81">
        <v>1010</v>
      </c>
      <c r="D37" s="62" t="s">
        <v>281</v>
      </c>
      <c r="E37" s="59" t="s">
        <v>91</v>
      </c>
      <c r="F37" s="59" t="s">
        <v>142</v>
      </c>
      <c r="G37" s="8"/>
      <c r="H37" s="7"/>
    </row>
    <row r="38" spans="2:8" x14ac:dyDescent="0.25">
      <c r="B38" s="107"/>
      <c r="C38" s="81">
        <v>1011</v>
      </c>
      <c r="D38" s="71" t="s">
        <v>264</v>
      </c>
      <c r="E38" s="59" t="s">
        <v>97</v>
      </c>
      <c r="F38" s="59" t="s">
        <v>144</v>
      </c>
      <c r="G38" s="8"/>
      <c r="H38" s="7"/>
    </row>
    <row r="39" spans="2:8" x14ac:dyDescent="0.25">
      <c r="B39" s="107"/>
      <c r="C39" s="81">
        <v>1100</v>
      </c>
      <c r="D39" s="71" t="s">
        <v>260</v>
      </c>
      <c r="E39" s="59" t="s">
        <v>103</v>
      </c>
      <c r="F39" s="59" t="s">
        <v>145</v>
      </c>
      <c r="G39" s="8"/>
      <c r="H39" s="7"/>
    </row>
    <row r="40" spans="2:8" x14ac:dyDescent="0.25">
      <c r="B40" s="107"/>
      <c r="C40" s="81">
        <v>1101</v>
      </c>
      <c r="D40" s="71" t="s">
        <v>261</v>
      </c>
      <c r="E40" s="59" t="s">
        <v>108</v>
      </c>
      <c r="F40" s="59" t="s">
        <v>146</v>
      </c>
      <c r="G40" s="8"/>
      <c r="H40" s="7"/>
    </row>
    <row r="41" spans="2:8" x14ac:dyDescent="0.25">
      <c r="B41" s="107"/>
      <c r="C41" s="81">
        <v>1110</v>
      </c>
      <c r="D41" s="62" t="s">
        <v>282</v>
      </c>
      <c r="E41" s="59" t="s">
        <v>111</v>
      </c>
      <c r="F41" s="59" t="s">
        <v>147</v>
      </c>
      <c r="G41" s="8"/>
      <c r="H41" s="7"/>
    </row>
    <row r="42" spans="2:8" ht="15.75" thickBot="1" x14ac:dyDescent="0.3">
      <c r="B42" s="108"/>
      <c r="C42" s="87">
        <v>1111</v>
      </c>
      <c r="D42" s="62" t="s">
        <v>283</v>
      </c>
      <c r="E42" s="61" t="s">
        <v>114</v>
      </c>
      <c r="F42" s="61" t="s">
        <v>148</v>
      </c>
      <c r="G42" s="31"/>
      <c r="H42" s="19"/>
    </row>
    <row r="43" spans="2:8" x14ac:dyDescent="0.25">
      <c r="E43" s="2" t="s">
        <v>117</v>
      </c>
      <c r="G43" s="2" t="s">
        <v>117</v>
      </c>
    </row>
    <row r="44" spans="2:8" x14ac:dyDescent="0.25">
      <c r="B44" s="1"/>
    </row>
    <row r="47" spans="2:8" x14ac:dyDescent="0.25">
      <c r="E47" s="2" t="s">
        <v>265</v>
      </c>
    </row>
  </sheetData>
  <mergeCells count="33">
    <mergeCell ref="B23:H23"/>
    <mergeCell ref="B24:C24"/>
    <mergeCell ref="B25:C25"/>
    <mergeCell ref="B26:C26"/>
    <mergeCell ref="B27:B42"/>
    <mergeCell ref="N22:O22"/>
    <mergeCell ref="B6:B21"/>
    <mergeCell ref="F6:F10"/>
    <mergeCell ref="H6:H13"/>
    <mergeCell ref="K6:K9"/>
    <mergeCell ref="O6:O10"/>
    <mergeCell ref="K10:K11"/>
    <mergeCell ref="F11:F14"/>
    <mergeCell ref="O11:O15"/>
    <mergeCell ref="K12:K15"/>
    <mergeCell ref="H14:H20"/>
    <mergeCell ref="F15:F16"/>
    <mergeCell ref="K16:K19"/>
    <mergeCell ref="E22:F22"/>
    <mergeCell ref="G22:H22"/>
    <mergeCell ref="J22:K22"/>
    <mergeCell ref="B4:C4"/>
    <mergeCell ref="E4:F4"/>
    <mergeCell ref="G4:H4"/>
    <mergeCell ref="J4:K4"/>
    <mergeCell ref="B5:C5"/>
    <mergeCell ref="B2:O2"/>
    <mergeCell ref="B3:C3"/>
    <mergeCell ref="E3:F3"/>
    <mergeCell ref="G3:H3"/>
    <mergeCell ref="J3:K3"/>
    <mergeCell ref="L3:M3"/>
    <mergeCell ref="N3:O3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92252-BB44-42A1-862A-B5AD5B0E1AAB}">
  <dimension ref="B1:Q44"/>
  <sheetViews>
    <sheetView topLeftCell="A4" zoomScale="85" zoomScaleNormal="85" workbookViewId="0">
      <pane xSplit="3" topLeftCell="D1" activePane="topRight" state="frozen"/>
      <selection pane="topRight" activeCell="L39" activeCellId="1" sqref="D39:D40 L39"/>
    </sheetView>
  </sheetViews>
  <sheetFormatPr defaultColWidth="8.85546875" defaultRowHeight="15" x14ac:dyDescent="0.25"/>
  <cols>
    <col min="1" max="1" width="8.85546875" style="2"/>
    <col min="2" max="2" width="11.140625" style="2" bestFit="1" customWidth="1"/>
    <col min="3" max="3" width="11.140625" style="2" customWidth="1"/>
    <col min="4" max="4" width="9.28515625" style="2" customWidth="1"/>
    <col min="5" max="5" width="11.85546875" style="2" customWidth="1"/>
    <col min="6" max="6" width="10.28515625" style="2" customWidth="1"/>
    <col min="7" max="7" width="9.85546875" style="2" customWidth="1"/>
    <col min="8" max="8" width="8.85546875" style="2"/>
    <col min="9" max="9" width="14.42578125" style="2" bestFit="1" customWidth="1"/>
    <col min="10" max="10" width="8.85546875" style="2"/>
    <col min="11" max="11" width="16.28515625" style="2" customWidth="1"/>
    <col min="12" max="12" width="10" style="2" customWidth="1"/>
    <col min="13" max="13" width="8.85546875" style="2"/>
    <col min="14" max="14" width="10" style="2" bestFit="1" customWidth="1"/>
    <col min="15" max="16384" width="8.85546875" style="2"/>
  </cols>
  <sheetData>
    <row r="1" spans="2:17" ht="15.75" thickBot="1" x14ac:dyDescent="0.3"/>
    <row r="2" spans="2:17" ht="15" customHeight="1" thickBot="1" x14ac:dyDescent="0.3">
      <c r="B2" s="90" t="s">
        <v>0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</row>
    <row r="3" spans="2:17" ht="14.45" customHeight="1" x14ac:dyDescent="0.25">
      <c r="B3" s="93" t="s">
        <v>1</v>
      </c>
      <c r="C3" s="94"/>
      <c r="D3" s="17" t="s">
        <v>2</v>
      </c>
      <c r="E3" s="95" t="s">
        <v>3</v>
      </c>
      <c r="F3" s="96"/>
      <c r="G3" s="95" t="s">
        <v>4</v>
      </c>
      <c r="H3" s="97"/>
      <c r="I3" s="17" t="s">
        <v>5</v>
      </c>
      <c r="J3" s="95" t="s">
        <v>6</v>
      </c>
      <c r="K3" s="96"/>
      <c r="L3" s="98" t="s">
        <v>7</v>
      </c>
      <c r="M3" s="99"/>
      <c r="N3" s="95" t="s">
        <v>8</v>
      </c>
      <c r="O3" s="96"/>
      <c r="P3" s="98"/>
      <c r="Q3" s="99"/>
    </row>
    <row r="4" spans="2:17" ht="14.45" customHeight="1" x14ac:dyDescent="0.25">
      <c r="B4" s="100" t="s">
        <v>9</v>
      </c>
      <c r="C4" s="101"/>
      <c r="D4" s="18">
        <v>0</v>
      </c>
      <c r="E4" s="100">
        <v>1</v>
      </c>
      <c r="F4" s="102"/>
      <c r="G4" s="100">
        <v>10</v>
      </c>
      <c r="H4" s="101"/>
      <c r="I4" s="18">
        <v>11</v>
      </c>
      <c r="J4" s="100">
        <v>100</v>
      </c>
      <c r="K4" s="102"/>
      <c r="L4" s="18">
        <v>101</v>
      </c>
      <c r="M4" s="2">
        <v>110</v>
      </c>
      <c r="N4" s="32">
        <v>111</v>
      </c>
      <c r="O4" s="81"/>
    </row>
    <row r="5" spans="2:17" ht="15.75" thickBot="1" x14ac:dyDescent="0.3">
      <c r="B5" s="103" t="s">
        <v>10</v>
      </c>
      <c r="C5" s="123"/>
      <c r="D5" s="33" t="s">
        <v>11</v>
      </c>
      <c r="E5" s="49" t="s">
        <v>11</v>
      </c>
      <c r="F5" s="50" t="s">
        <v>12</v>
      </c>
      <c r="G5" s="82" t="s">
        <v>11</v>
      </c>
      <c r="H5" s="83" t="s">
        <v>12</v>
      </c>
      <c r="I5" s="33" t="s">
        <v>11</v>
      </c>
      <c r="J5" s="82" t="s">
        <v>11</v>
      </c>
      <c r="K5" s="87" t="s">
        <v>12</v>
      </c>
      <c r="L5" s="33" t="s">
        <v>11</v>
      </c>
      <c r="M5" s="33" t="s">
        <v>11</v>
      </c>
      <c r="N5" s="82" t="s">
        <v>11</v>
      </c>
      <c r="O5" s="87" t="s">
        <v>12</v>
      </c>
    </row>
    <row r="6" spans="2:17" ht="14.45" customHeight="1" x14ac:dyDescent="0.25">
      <c r="B6" s="107" t="s">
        <v>13</v>
      </c>
      <c r="C6" s="76">
        <v>0</v>
      </c>
      <c r="D6" s="75" t="s">
        <v>14</v>
      </c>
      <c r="E6" s="51" t="s">
        <v>149</v>
      </c>
      <c r="F6" s="109" t="s">
        <v>16</v>
      </c>
      <c r="G6" s="13" t="s">
        <v>17</v>
      </c>
      <c r="H6" s="111" t="s">
        <v>18</v>
      </c>
      <c r="I6" s="24" t="s">
        <v>19</v>
      </c>
      <c r="J6" s="28">
        <v>1</v>
      </c>
      <c r="K6" s="113" t="s">
        <v>20</v>
      </c>
      <c r="L6" s="24" t="s">
        <v>21</v>
      </c>
      <c r="M6" s="24" t="s">
        <v>150</v>
      </c>
      <c r="N6" s="22" t="s">
        <v>23</v>
      </c>
      <c r="O6" s="114" t="s">
        <v>24</v>
      </c>
    </row>
    <row r="7" spans="2:17" x14ac:dyDescent="0.25">
      <c r="B7" s="107"/>
      <c r="C7" s="73">
        <v>1</v>
      </c>
      <c r="D7" s="9" t="s">
        <v>25</v>
      </c>
      <c r="E7" s="15" t="s">
        <v>151</v>
      </c>
      <c r="F7" s="109"/>
      <c r="G7" s="13" t="s">
        <v>27</v>
      </c>
      <c r="H7" s="112"/>
      <c r="I7" s="24" t="s">
        <v>28</v>
      </c>
      <c r="J7" s="28">
        <v>2</v>
      </c>
      <c r="K7" s="109"/>
      <c r="L7" s="24" t="s">
        <v>29</v>
      </c>
      <c r="M7" s="24" t="s">
        <v>152</v>
      </c>
      <c r="N7" s="22" t="s">
        <v>31</v>
      </c>
      <c r="O7" s="115"/>
    </row>
    <row r="8" spans="2:17" x14ac:dyDescent="0.25">
      <c r="B8" s="107"/>
      <c r="C8" s="73">
        <v>10</v>
      </c>
      <c r="D8" s="9" t="s">
        <v>32</v>
      </c>
      <c r="E8" s="15" t="s">
        <v>153</v>
      </c>
      <c r="F8" s="109"/>
      <c r="G8" s="13" t="s">
        <v>34</v>
      </c>
      <c r="H8" s="112"/>
      <c r="I8" s="24" t="s">
        <v>35</v>
      </c>
      <c r="J8" s="28">
        <v>3</v>
      </c>
      <c r="K8" s="109"/>
      <c r="L8" s="24" t="s">
        <v>36</v>
      </c>
      <c r="M8" s="24" t="s">
        <v>154</v>
      </c>
      <c r="N8" s="22" t="s">
        <v>38</v>
      </c>
      <c r="O8" s="115"/>
    </row>
    <row r="9" spans="2:17" x14ac:dyDescent="0.25">
      <c r="B9" s="107"/>
      <c r="C9" s="73">
        <v>11</v>
      </c>
      <c r="D9" s="9" t="s">
        <v>39</v>
      </c>
      <c r="E9" s="15" t="s">
        <v>155</v>
      </c>
      <c r="F9" s="109"/>
      <c r="G9" s="14" t="s">
        <v>15</v>
      </c>
      <c r="H9" s="112"/>
      <c r="I9" s="24" t="s">
        <v>41</v>
      </c>
      <c r="J9" s="29">
        <v>4</v>
      </c>
      <c r="K9" s="109"/>
      <c r="L9" s="24" t="s">
        <v>42</v>
      </c>
      <c r="M9" s="24" t="s">
        <v>156</v>
      </c>
      <c r="N9" s="22" t="s">
        <v>44</v>
      </c>
      <c r="O9" s="115"/>
    </row>
    <row r="10" spans="2:17" ht="15.75" thickBot="1" x14ac:dyDescent="0.3">
      <c r="B10" s="107"/>
      <c r="C10" s="73">
        <v>100</v>
      </c>
      <c r="D10" s="9" t="s">
        <v>45</v>
      </c>
      <c r="E10" s="16" t="s">
        <v>46</v>
      </c>
      <c r="F10" s="110"/>
      <c r="G10" s="12" t="s">
        <v>47</v>
      </c>
      <c r="H10" s="112"/>
      <c r="I10" s="24" t="s">
        <v>48</v>
      </c>
      <c r="J10" s="13" t="s">
        <v>49</v>
      </c>
      <c r="K10" s="109" t="s">
        <v>50</v>
      </c>
      <c r="L10" s="24" t="s">
        <v>51</v>
      </c>
      <c r="M10" s="24" t="s">
        <v>157</v>
      </c>
      <c r="N10" s="40" t="s">
        <v>53</v>
      </c>
      <c r="O10" s="116"/>
    </row>
    <row r="11" spans="2:17" ht="14.45" customHeight="1" x14ac:dyDescent="0.25">
      <c r="B11" s="107"/>
      <c r="C11" s="73">
        <v>101</v>
      </c>
      <c r="D11" s="9" t="s">
        <v>54</v>
      </c>
      <c r="E11" s="47" t="s">
        <v>55</v>
      </c>
      <c r="F11" s="117" t="s">
        <v>56</v>
      </c>
      <c r="G11" s="12" t="s">
        <v>57</v>
      </c>
      <c r="H11" s="112"/>
      <c r="I11" s="24" t="s">
        <v>58</v>
      </c>
      <c r="J11" s="14" t="s">
        <v>50</v>
      </c>
      <c r="K11" s="109"/>
      <c r="L11" s="24" t="s">
        <v>59</v>
      </c>
      <c r="M11" s="24" t="s">
        <v>158</v>
      </c>
      <c r="N11" s="22" t="s">
        <v>23</v>
      </c>
      <c r="O11" s="114" t="s">
        <v>159</v>
      </c>
    </row>
    <row r="12" spans="2:17" x14ac:dyDescent="0.25">
      <c r="B12" s="107"/>
      <c r="C12" s="73">
        <v>110</v>
      </c>
      <c r="D12" s="9" t="s">
        <v>61</v>
      </c>
      <c r="E12" s="47" t="s">
        <v>62</v>
      </c>
      <c r="F12" s="118"/>
      <c r="G12" s="12" t="s">
        <v>63</v>
      </c>
      <c r="H12" s="112"/>
      <c r="I12" s="24" t="s">
        <v>64</v>
      </c>
      <c r="J12" s="15" t="s">
        <v>65</v>
      </c>
      <c r="K12" s="102" t="s">
        <v>66</v>
      </c>
      <c r="L12" s="24" t="s">
        <v>67</v>
      </c>
      <c r="M12" s="24" t="s">
        <v>160</v>
      </c>
      <c r="N12" s="22" t="s">
        <v>31</v>
      </c>
      <c r="O12" s="115"/>
    </row>
    <row r="13" spans="2:17" x14ac:dyDescent="0.25">
      <c r="B13" s="107"/>
      <c r="C13" s="73">
        <v>111</v>
      </c>
      <c r="D13" s="9" t="s">
        <v>69</v>
      </c>
      <c r="E13" s="22" t="s">
        <v>70</v>
      </c>
      <c r="F13" s="118"/>
      <c r="G13" s="20" t="s">
        <v>26</v>
      </c>
      <c r="H13" s="113"/>
      <c r="I13" s="25" t="s">
        <v>71</v>
      </c>
      <c r="J13" s="15" t="s">
        <v>72</v>
      </c>
      <c r="K13" s="102"/>
      <c r="L13" s="24" t="s">
        <v>73</v>
      </c>
      <c r="M13" s="24" t="s">
        <v>161</v>
      </c>
      <c r="N13" s="22" t="s">
        <v>38</v>
      </c>
      <c r="O13" s="115"/>
    </row>
    <row r="14" spans="2:17" ht="16.5" customHeight="1" thickBot="1" x14ac:dyDescent="0.3">
      <c r="B14" s="107"/>
      <c r="C14" s="73">
        <v>1000</v>
      </c>
      <c r="D14" s="9" t="s">
        <v>75</v>
      </c>
      <c r="E14" s="48" t="s">
        <v>76</v>
      </c>
      <c r="F14" s="119"/>
      <c r="G14" s="21" t="s">
        <v>77</v>
      </c>
      <c r="H14" s="120" t="s">
        <v>78</v>
      </c>
      <c r="I14" s="26" t="s">
        <v>79</v>
      </c>
      <c r="J14" s="15" t="s">
        <v>162</v>
      </c>
      <c r="K14" s="102"/>
      <c r="L14" s="26" t="s">
        <v>80</v>
      </c>
      <c r="M14" s="26" t="s">
        <v>163</v>
      </c>
      <c r="N14" s="22" t="s">
        <v>44</v>
      </c>
      <c r="O14" s="115"/>
    </row>
    <row r="15" spans="2:17" ht="14.45" customHeight="1" x14ac:dyDescent="0.25">
      <c r="B15" s="107"/>
      <c r="C15" s="73">
        <v>1001</v>
      </c>
      <c r="D15" s="9" t="s">
        <v>82</v>
      </c>
      <c r="E15" s="2" t="s">
        <v>83</v>
      </c>
      <c r="F15" s="117" t="s">
        <v>164</v>
      </c>
      <c r="G15" s="21" t="s">
        <v>84</v>
      </c>
      <c r="H15" s="115"/>
      <c r="I15" s="26" t="s">
        <v>85</v>
      </c>
      <c r="J15" s="15" t="s">
        <v>165</v>
      </c>
      <c r="K15" s="102"/>
      <c r="L15" s="26" t="s">
        <v>86</v>
      </c>
      <c r="M15" s="26" t="s">
        <v>166</v>
      </c>
      <c r="N15" s="40" t="s">
        <v>53</v>
      </c>
      <c r="O15" s="116"/>
    </row>
    <row r="16" spans="2:17" ht="15" customHeight="1" thickBot="1" x14ac:dyDescent="0.3">
      <c r="B16" s="107"/>
      <c r="C16" s="73">
        <v>1010</v>
      </c>
      <c r="D16" s="9" t="s">
        <v>88</v>
      </c>
      <c r="E16" s="34" t="s">
        <v>89</v>
      </c>
      <c r="F16" s="119"/>
      <c r="G16" s="21" t="s">
        <v>90</v>
      </c>
      <c r="H16" s="115"/>
      <c r="I16" s="26" t="s">
        <v>91</v>
      </c>
      <c r="J16" s="15" t="s">
        <v>92</v>
      </c>
      <c r="K16" s="102" t="s">
        <v>93</v>
      </c>
      <c r="L16" s="26" t="s">
        <v>94</v>
      </c>
      <c r="M16" s="26" t="s">
        <v>167</v>
      </c>
      <c r="O16" s="9"/>
    </row>
    <row r="17" spans="2:15" x14ac:dyDescent="0.25">
      <c r="B17" s="107"/>
      <c r="C17" s="73">
        <v>1011</v>
      </c>
      <c r="D17" s="9" t="s">
        <v>96</v>
      </c>
      <c r="G17" s="21" t="s">
        <v>33</v>
      </c>
      <c r="H17" s="115"/>
      <c r="I17" s="26" t="s">
        <v>97</v>
      </c>
      <c r="J17" s="15" t="s">
        <v>98</v>
      </c>
      <c r="K17" s="102"/>
      <c r="L17" s="26" t="s">
        <v>99</v>
      </c>
      <c r="M17" s="26" t="s">
        <v>168</v>
      </c>
      <c r="N17" s="8"/>
      <c r="O17" s="9"/>
    </row>
    <row r="18" spans="2:15" ht="16.5" customHeight="1" x14ac:dyDescent="0.25">
      <c r="B18" s="107"/>
      <c r="C18" s="73">
        <v>1100</v>
      </c>
      <c r="D18" s="9" t="s">
        <v>101</v>
      </c>
      <c r="E18" s="2" t="s">
        <v>262</v>
      </c>
      <c r="G18" s="22" t="s">
        <v>102</v>
      </c>
      <c r="H18" s="115"/>
      <c r="I18" s="26" t="s">
        <v>103</v>
      </c>
      <c r="J18" s="15" t="s">
        <v>169</v>
      </c>
      <c r="K18" s="102"/>
      <c r="L18" s="26" t="s">
        <v>104</v>
      </c>
      <c r="M18" s="26" t="s">
        <v>170</v>
      </c>
      <c r="N18" s="8"/>
      <c r="O18" s="9"/>
    </row>
    <row r="19" spans="2:15" x14ac:dyDescent="0.25">
      <c r="B19" s="107"/>
      <c r="C19" s="73">
        <v>1101</v>
      </c>
      <c r="D19" s="9" t="s">
        <v>106</v>
      </c>
      <c r="E19" s="2" t="s">
        <v>263</v>
      </c>
      <c r="G19" s="22" t="s">
        <v>107</v>
      </c>
      <c r="H19" s="115"/>
      <c r="I19" s="26" t="s">
        <v>108</v>
      </c>
      <c r="J19" s="30" t="s">
        <v>171</v>
      </c>
      <c r="K19" s="102"/>
      <c r="L19" s="26" t="s">
        <v>109</v>
      </c>
      <c r="M19" s="26" t="s">
        <v>172</v>
      </c>
      <c r="N19" s="8"/>
      <c r="O19" s="9"/>
    </row>
    <row r="20" spans="2:15" ht="18" customHeight="1" thickBot="1" x14ac:dyDescent="0.3">
      <c r="B20" s="107"/>
      <c r="C20" s="73">
        <v>1110</v>
      </c>
      <c r="D20" s="9"/>
      <c r="G20" s="23" t="s">
        <v>40</v>
      </c>
      <c r="H20" s="116"/>
      <c r="I20" s="26" t="s">
        <v>111</v>
      </c>
      <c r="J20" s="2" t="s">
        <v>258</v>
      </c>
      <c r="L20" s="26" t="s">
        <v>112</v>
      </c>
      <c r="M20" s="26" t="s">
        <v>173</v>
      </c>
      <c r="N20" s="8"/>
      <c r="O20" s="9"/>
    </row>
    <row r="21" spans="2:15" ht="15.75" thickBot="1" x14ac:dyDescent="0.3">
      <c r="B21" s="108"/>
      <c r="C21" s="74">
        <v>1111</v>
      </c>
      <c r="D21" s="10"/>
      <c r="H21" s="46"/>
      <c r="I21" s="27" t="s">
        <v>114</v>
      </c>
      <c r="J21" s="2" t="s">
        <v>259</v>
      </c>
      <c r="K21" s="10"/>
      <c r="L21" s="27" t="s">
        <v>115</v>
      </c>
      <c r="M21" s="27" t="s">
        <v>174</v>
      </c>
      <c r="N21" s="31"/>
      <c r="O21" s="10"/>
    </row>
    <row r="22" spans="2:15" ht="15.75" thickBot="1" x14ac:dyDescent="0.3">
      <c r="E22" s="105"/>
      <c r="F22" s="105"/>
      <c r="G22" s="105"/>
      <c r="H22" s="105"/>
      <c r="J22" s="105"/>
      <c r="K22" s="105"/>
      <c r="N22" s="105"/>
      <c r="O22" s="105"/>
    </row>
    <row r="23" spans="2:15" ht="15" customHeight="1" thickBot="1" x14ac:dyDescent="0.3">
      <c r="B23" s="90" t="s">
        <v>118</v>
      </c>
      <c r="C23" s="91"/>
      <c r="D23" s="91"/>
      <c r="E23" s="91"/>
      <c r="F23" s="91"/>
      <c r="G23" s="91"/>
      <c r="H23" s="92"/>
      <c r="I23" s="6"/>
      <c r="J23" s="6"/>
      <c r="K23" s="6"/>
      <c r="L23" s="6"/>
      <c r="M23" s="6"/>
    </row>
    <row r="24" spans="2:15" ht="30" x14ac:dyDescent="0.25">
      <c r="B24" s="95" t="s">
        <v>1</v>
      </c>
      <c r="C24" s="97"/>
      <c r="D24" s="78" t="s">
        <v>119</v>
      </c>
      <c r="E24" s="17" t="s">
        <v>120</v>
      </c>
      <c r="F24" s="35" t="s">
        <v>121</v>
      </c>
      <c r="G24" s="79" t="s">
        <v>122</v>
      </c>
      <c r="H24" s="55" t="s">
        <v>123</v>
      </c>
    </row>
    <row r="25" spans="2:15" x14ac:dyDescent="0.25">
      <c r="B25" s="121" t="s">
        <v>9</v>
      </c>
      <c r="C25" s="122"/>
      <c r="D25" s="85">
        <v>0</v>
      </c>
      <c r="E25" s="18">
        <v>1</v>
      </c>
      <c r="F25" s="18">
        <v>10</v>
      </c>
      <c r="G25" s="86">
        <v>11</v>
      </c>
      <c r="H25" s="18">
        <v>100</v>
      </c>
    </row>
    <row r="26" spans="2:15" ht="15.75" thickBot="1" x14ac:dyDescent="0.3">
      <c r="B26" s="103" t="s">
        <v>10</v>
      </c>
      <c r="C26" s="104"/>
      <c r="D26" s="34" t="s">
        <v>11</v>
      </c>
      <c r="E26" s="33" t="s">
        <v>11</v>
      </c>
      <c r="F26" s="33"/>
      <c r="G26" s="56"/>
      <c r="H26" s="33"/>
    </row>
    <row r="27" spans="2:15" x14ac:dyDescent="0.25">
      <c r="B27" s="107" t="s">
        <v>13</v>
      </c>
      <c r="C27" s="11">
        <v>0</v>
      </c>
      <c r="D27" s="39" t="s">
        <v>14</v>
      </c>
      <c r="E27" s="24" t="s">
        <v>19</v>
      </c>
      <c r="F27" s="26" t="s">
        <v>124</v>
      </c>
      <c r="G27" s="15" t="s">
        <v>175</v>
      </c>
      <c r="H27" s="24" t="s">
        <v>125</v>
      </c>
      <c r="I27" s="54"/>
    </row>
    <row r="28" spans="2:15" x14ac:dyDescent="0.25">
      <c r="B28" s="107"/>
      <c r="C28" s="81">
        <v>1</v>
      </c>
      <c r="D28" s="3" t="s">
        <v>2</v>
      </c>
      <c r="E28" s="24" t="s">
        <v>28</v>
      </c>
      <c r="F28" s="26" t="s">
        <v>126</v>
      </c>
      <c r="G28" s="15" t="s">
        <v>176</v>
      </c>
      <c r="H28" s="24" t="s">
        <v>127</v>
      </c>
      <c r="I28" s="54"/>
    </row>
    <row r="29" spans="2:15" x14ac:dyDescent="0.25">
      <c r="B29" s="107"/>
      <c r="C29" s="81">
        <v>10</v>
      </c>
      <c r="D29" s="5" t="s">
        <v>50</v>
      </c>
      <c r="E29" s="24" t="s">
        <v>35</v>
      </c>
      <c r="F29" s="26" t="s">
        <v>128</v>
      </c>
      <c r="G29" s="15" t="s">
        <v>177</v>
      </c>
      <c r="H29" s="24" t="s">
        <v>129</v>
      </c>
      <c r="I29" s="54"/>
    </row>
    <row r="30" spans="2:15" x14ac:dyDescent="0.25">
      <c r="B30" s="107"/>
      <c r="C30" s="81">
        <v>11</v>
      </c>
      <c r="D30" s="36">
        <v>1</v>
      </c>
      <c r="E30" s="24" t="s">
        <v>41</v>
      </c>
      <c r="F30" s="26" t="s">
        <v>130</v>
      </c>
      <c r="G30" s="15" t="s">
        <v>178</v>
      </c>
      <c r="H30" s="24" t="s">
        <v>131</v>
      </c>
      <c r="I30" s="54"/>
    </row>
    <row r="31" spans="2:15" x14ac:dyDescent="0.25">
      <c r="B31" s="107"/>
      <c r="C31" s="81">
        <v>100</v>
      </c>
      <c r="D31" s="36">
        <v>2</v>
      </c>
      <c r="E31" s="24" t="s">
        <v>48</v>
      </c>
      <c r="F31" s="26" t="s">
        <v>132</v>
      </c>
      <c r="G31" s="15" t="s">
        <v>179</v>
      </c>
      <c r="H31" s="24" t="s">
        <v>133</v>
      </c>
      <c r="I31" s="54"/>
    </row>
    <row r="32" spans="2:15" ht="15.75" thickBot="1" x14ac:dyDescent="0.3">
      <c r="B32" s="107"/>
      <c r="C32" s="81">
        <v>101</v>
      </c>
      <c r="D32" s="36">
        <v>3</v>
      </c>
      <c r="E32" s="24" t="s">
        <v>58</v>
      </c>
      <c r="F32" s="26" t="s">
        <v>134</v>
      </c>
      <c r="G32" s="15" t="s">
        <v>180</v>
      </c>
      <c r="H32" s="37" t="s">
        <v>135</v>
      </c>
      <c r="I32" s="54"/>
    </row>
    <row r="33" spans="2:8" x14ac:dyDescent="0.25">
      <c r="B33" s="107"/>
      <c r="C33" s="81">
        <v>110</v>
      </c>
      <c r="D33" s="36">
        <v>4</v>
      </c>
      <c r="E33" s="24" t="s">
        <v>64</v>
      </c>
      <c r="F33" s="26" t="s">
        <v>136</v>
      </c>
      <c r="G33" s="15" t="s">
        <v>181</v>
      </c>
      <c r="H33" s="7"/>
    </row>
    <row r="34" spans="2:8" x14ac:dyDescent="0.25">
      <c r="B34" s="107"/>
      <c r="C34" s="81">
        <v>111</v>
      </c>
      <c r="D34" s="4" t="s">
        <v>182</v>
      </c>
      <c r="E34" s="25" t="s">
        <v>71</v>
      </c>
      <c r="F34" s="38" t="s">
        <v>138</v>
      </c>
      <c r="G34" s="30" t="s">
        <v>183</v>
      </c>
      <c r="H34" s="7"/>
    </row>
    <row r="35" spans="2:8" x14ac:dyDescent="0.25">
      <c r="B35" s="107"/>
      <c r="C35" s="81">
        <v>1000</v>
      </c>
      <c r="D35" s="4" t="s">
        <v>184</v>
      </c>
      <c r="E35" s="24" t="s">
        <v>79</v>
      </c>
      <c r="F35" s="26" t="s">
        <v>140</v>
      </c>
      <c r="G35" s="15" t="s">
        <v>185</v>
      </c>
      <c r="H35" s="7"/>
    </row>
    <row r="36" spans="2:8" x14ac:dyDescent="0.25">
      <c r="B36" s="107"/>
      <c r="C36" s="81">
        <v>1001</v>
      </c>
      <c r="D36" s="4" t="s">
        <v>186</v>
      </c>
      <c r="E36" s="24" t="s">
        <v>85</v>
      </c>
      <c r="F36" s="26" t="s">
        <v>141</v>
      </c>
      <c r="G36" s="15" t="s">
        <v>187</v>
      </c>
      <c r="H36" s="7"/>
    </row>
    <row r="37" spans="2:8" x14ac:dyDescent="0.25">
      <c r="B37" s="107"/>
      <c r="C37" s="81">
        <v>1010</v>
      </c>
      <c r="D37" s="4" t="s">
        <v>188</v>
      </c>
      <c r="E37" s="24" t="s">
        <v>91</v>
      </c>
      <c r="F37" s="26" t="s">
        <v>142</v>
      </c>
      <c r="G37" s="15" t="s">
        <v>189</v>
      </c>
      <c r="H37" s="7"/>
    </row>
    <row r="38" spans="2:8" x14ac:dyDescent="0.25">
      <c r="B38" s="107"/>
      <c r="C38" s="81">
        <v>1011</v>
      </c>
      <c r="D38" s="5" t="s">
        <v>143</v>
      </c>
      <c r="E38" s="24" t="s">
        <v>97</v>
      </c>
      <c r="F38" s="26" t="s">
        <v>144</v>
      </c>
      <c r="G38" s="15" t="s">
        <v>190</v>
      </c>
      <c r="H38" s="7"/>
    </row>
    <row r="39" spans="2:8" x14ac:dyDescent="0.25">
      <c r="B39" s="107"/>
      <c r="C39" s="81">
        <v>1100</v>
      </c>
      <c r="D39" s="2" t="s">
        <v>260</v>
      </c>
      <c r="E39" s="24" t="s">
        <v>103</v>
      </c>
      <c r="F39" s="26" t="s">
        <v>145</v>
      </c>
      <c r="G39" s="15" t="s">
        <v>191</v>
      </c>
      <c r="H39" s="7"/>
    </row>
    <row r="40" spans="2:8" x14ac:dyDescent="0.25">
      <c r="B40" s="107"/>
      <c r="C40" s="81">
        <v>1101</v>
      </c>
      <c r="D40" s="2" t="s">
        <v>261</v>
      </c>
      <c r="E40" s="24" t="s">
        <v>108</v>
      </c>
      <c r="F40" s="26" t="s">
        <v>146</v>
      </c>
      <c r="G40" s="15" t="s">
        <v>192</v>
      </c>
      <c r="H40" s="7"/>
    </row>
    <row r="41" spans="2:8" x14ac:dyDescent="0.25">
      <c r="B41" s="107"/>
      <c r="C41" s="81">
        <v>1110</v>
      </c>
      <c r="E41" s="24" t="s">
        <v>111</v>
      </c>
      <c r="F41" s="26" t="s">
        <v>147</v>
      </c>
      <c r="G41" s="15" t="s">
        <v>193</v>
      </c>
      <c r="H41" s="7"/>
    </row>
    <row r="42" spans="2:8" ht="15.75" thickBot="1" x14ac:dyDescent="0.3">
      <c r="B42" s="108"/>
      <c r="C42" s="87">
        <v>1111</v>
      </c>
      <c r="D42" s="19"/>
      <c r="E42" s="37" t="s">
        <v>114</v>
      </c>
      <c r="F42" s="27" t="s">
        <v>148</v>
      </c>
      <c r="G42" s="16" t="s">
        <v>194</v>
      </c>
      <c r="H42" s="19"/>
    </row>
    <row r="43" spans="2:8" x14ac:dyDescent="0.25">
      <c r="D43" s="2" t="s">
        <v>117</v>
      </c>
      <c r="E43" s="2" t="s">
        <v>117</v>
      </c>
      <c r="F43" s="2" t="s">
        <v>117</v>
      </c>
      <c r="G43" s="2" t="s">
        <v>117</v>
      </c>
    </row>
    <row r="44" spans="2:8" x14ac:dyDescent="0.25">
      <c r="B44" s="1"/>
    </row>
  </sheetData>
  <mergeCells count="34">
    <mergeCell ref="B2:O2"/>
    <mergeCell ref="B3:C3"/>
    <mergeCell ref="E3:F3"/>
    <mergeCell ref="G3:H3"/>
    <mergeCell ref="J3:K3"/>
    <mergeCell ref="L3:M3"/>
    <mergeCell ref="N3:O3"/>
    <mergeCell ref="B4:C4"/>
    <mergeCell ref="E4:F4"/>
    <mergeCell ref="G4:H4"/>
    <mergeCell ref="J4:K4"/>
    <mergeCell ref="B5:C5"/>
    <mergeCell ref="K16:K19"/>
    <mergeCell ref="O6:O10"/>
    <mergeCell ref="O11:O15"/>
    <mergeCell ref="B6:B21"/>
    <mergeCell ref="K6:K9"/>
    <mergeCell ref="F15:F16"/>
    <mergeCell ref="P3:Q3"/>
    <mergeCell ref="B25:C25"/>
    <mergeCell ref="B26:C26"/>
    <mergeCell ref="B27:B42"/>
    <mergeCell ref="H6:H13"/>
    <mergeCell ref="H14:H20"/>
    <mergeCell ref="F11:F14"/>
    <mergeCell ref="E22:F22"/>
    <mergeCell ref="G22:H22"/>
    <mergeCell ref="B23:H23"/>
    <mergeCell ref="J22:K22"/>
    <mergeCell ref="N22:O22"/>
    <mergeCell ref="B24:C24"/>
    <mergeCell ref="K10:K11"/>
    <mergeCell ref="K12:K15"/>
    <mergeCell ref="F6:F10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F71B-05B4-4D30-93C1-B277EF8FE223}">
  <dimension ref="B4:D247"/>
  <sheetViews>
    <sheetView zoomScaleNormal="100" workbookViewId="0">
      <selection activeCell="H13" sqref="H13"/>
    </sheetView>
  </sheetViews>
  <sheetFormatPr defaultRowHeight="15" x14ac:dyDescent="0.25"/>
  <sheetData>
    <row r="4" spans="2:4" x14ac:dyDescent="0.25">
      <c r="B4">
        <v>1</v>
      </c>
      <c r="C4" s="3" t="s">
        <v>2</v>
      </c>
      <c r="D4" t="s">
        <v>195</v>
      </c>
    </row>
    <row r="5" spans="2:4" x14ac:dyDescent="0.25">
      <c r="B5">
        <v>2</v>
      </c>
      <c r="C5" s="5" t="s">
        <v>50</v>
      </c>
      <c r="D5" t="s">
        <v>195</v>
      </c>
    </row>
    <row r="6" spans="2:4" x14ac:dyDescent="0.25">
      <c r="B6">
        <v>3</v>
      </c>
      <c r="C6" s="36">
        <v>1</v>
      </c>
      <c r="D6" t="s">
        <v>195</v>
      </c>
    </row>
    <row r="7" spans="2:4" x14ac:dyDescent="0.25">
      <c r="B7">
        <v>4</v>
      </c>
      <c r="C7" s="36">
        <v>2</v>
      </c>
      <c r="D7" t="s">
        <v>195</v>
      </c>
    </row>
    <row r="8" spans="2:4" x14ac:dyDescent="0.25">
      <c r="B8">
        <v>5</v>
      </c>
      <c r="C8" s="36">
        <v>3</v>
      </c>
      <c r="D8" t="s">
        <v>195</v>
      </c>
    </row>
    <row r="9" spans="2:4" x14ac:dyDescent="0.25">
      <c r="B9">
        <v>6</v>
      </c>
      <c r="C9" s="36">
        <v>4</v>
      </c>
      <c r="D9" t="s">
        <v>195</v>
      </c>
    </row>
    <row r="10" spans="2:4" x14ac:dyDescent="0.25">
      <c r="B10">
        <v>7</v>
      </c>
      <c r="C10" s="4" t="s">
        <v>182</v>
      </c>
      <c r="D10" t="s">
        <v>195</v>
      </c>
    </row>
    <row r="11" spans="2:4" x14ac:dyDescent="0.25">
      <c r="B11">
        <v>8</v>
      </c>
      <c r="C11" s="4" t="s">
        <v>184</v>
      </c>
      <c r="D11" t="s">
        <v>195</v>
      </c>
    </row>
    <row r="12" spans="2:4" x14ac:dyDescent="0.25">
      <c r="B12">
        <v>9</v>
      </c>
      <c r="C12" s="4" t="s">
        <v>186</v>
      </c>
      <c r="D12" t="s">
        <v>195</v>
      </c>
    </row>
    <row r="13" spans="2:4" x14ac:dyDescent="0.25">
      <c r="B13">
        <v>10</v>
      </c>
      <c r="C13" s="4" t="s">
        <v>188</v>
      </c>
      <c r="D13" t="s">
        <v>195</v>
      </c>
    </row>
    <row r="14" spans="2:4" x14ac:dyDescent="0.25">
      <c r="B14">
        <v>16</v>
      </c>
      <c r="C14" s="24" t="s">
        <v>19</v>
      </c>
      <c r="D14" t="s">
        <v>195</v>
      </c>
    </row>
    <row r="15" spans="2:4" x14ac:dyDescent="0.25">
      <c r="B15">
        <v>17</v>
      </c>
      <c r="C15" s="24" t="s">
        <v>28</v>
      </c>
      <c r="D15" t="s">
        <v>195</v>
      </c>
    </row>
    <row r="16" spans="2:4" x14ac:dyDescent="0.25">
      <c r="B16">
        <v>18</v>
      </c>
      <c r="C16" s="24" t="s">
        <v>35</v>
      </c>
      <c r="D16" t="s">
        <v>195</v>
      </c>
    </row>
    <row r="17" spans="2:4" x14ac:dyDescent="0.25">
      <c r="B17">
        <v>19</v>
      </c>
      <c r="C17" s="24" t="s">
        <v>41</v>
      </c>
      <c r="D17" t="s">
        <v>195</v>
      </c>
    </row>
    <row r="18" spans="2:4" x14ac:dyDescent="0.25">
      <c r="B18">
        <v>20</v>
      </c>
      <c r="C18" s="24" t="s">
        <v>48</v>
      </c>
      <c r="D18" t="s">
        <v>195</v>
      </c>
    </row>
    <row r="19" spans="2:4" x14ac:dyDescent="0.25">
      <c r="B19">
        <v>21</v>
      </c>
      <c r="C19" s="24" t="s">
        <v>58</v>
      </c>
      <c r="D19" t="s">
        <v>195</v>
      </c>
    </row>
    <row r="20" spans="2:4" x14ac:dyDescent="0.25">
      <c r="B20">
        <v>22</v>
      </c>
      <c r="C20" s="24" t="s">
        <v>64</v>
      </c>
      <c r="D20" t="s">
        <v>195</v>
      </c>
    </row>
    <row r="21" spans="2:4" x14ac:dyDescent="0.25">
      <c r="B21">
        <v>23</v>
      </c>
      <c r="C21" s="25" t="s">
        <v>71</v>
      </c>
      <c r="D21" t="s">
        <v>195</v>
      </c>
    </row>
    <row r="22" spans="2:4" x14ac:dyDescent="0.25">
      <c r="B22">
        <v>24</v>
      </c>
      <c r="C22" s="24" t="s">
        <v>79</v>
      </c>
      <c r="D22" t="s">
        <v>195</v>
      </c>
    </row>
    <row r="23" spans="2:4" x14ac:dyDescent="0.25">
      <c r="B23">
        <v>25</v>
      </c>
      <c r="C23" s="24" t="s">
        <v>85</v>
      </c>
      <c r="D23" t="s">
        <v>195</v>
      </c>
    </row>
    <row r="24" spans="2:4" x14ac:dyDescent="0.25">
      <c r="B24">
        <v>26</v>
      </c>
      <c r="C24" s="24" t="s">
        <v>91</v>
      </c>
      <c r="D24" t="s">
        <v>195</v>
      </c>
    </row>
    <row r="25" spans="2:4" x14ac:dyDescent="0.25">
      <c r="B25">
        <v>27</v>
      </c>
      <c r="C25" s="24" t="s">
        <v>97</v>
      </c>
      <c r="D25" t="s">
        <v>195</v>
      </c>
    </row>
    <row r="26" spans="2:4" x14ac:dyDescent="0.25">
      <c r="B26">
        <v>28</v>
      </c>
      <c r="C26" s="24" t="s">
        <v>103</v>
      </c>
      <c r="D26" t="s">
        <v>195</v>
      </c>
    </row>
    <row r="27" spans="2:4" x14ac:dyDescent="0.25">
      <c r="B27">
        <v>29</v>
      </c>
      <c r="C27" s="24" t="s">
        <v>108</v>
      </c>
      <c r="D27" t="s">
        <v>195</v>
      </c>
    </row>
    <row r="28" spans="2:4" x14ac:dyDescent="0.25">
      <c r="B28">
        <v>30</v>
      </c>
      <c r="C28" s="24" t="s">
        <v>111</v>
      </c>
      <c r="D28" t="s">
        <v>195</v>
      </c>
    </row>
    <row r="29" spans="2:4" ht="15.75" thickBot="1" x14ac:dyDescent="0.3">
      <c r="B29">
        <v>31</v>
      </c>
      <c r="C29" s="37" t="s">
        <v>114</v>
      </c>
      <c r="D29" t="s">
        <v>195</v>
      </c>
    </row>
    <row r="30" spans="2:4" x14ac:dyDescent="0.25">
      <c r="B30">
        <v>32</v>
      </c>
      <c r="C30" s="26" t="s">
        <v>124</v>
      </c>
      <c r="D30" t="s">
        <v>195</v>
      </c>
    </row>
    <row r="31" spans="2:4" x14ac:dyDescent="0.25">
      <c r="B31">
        <v>33</v>
      </c>
      <c r="C31" s="26" t="s">
        <v>126</v>
      </c>
      <c r="D31" t="s">
        <v>195</v>
      </c>
    </row>
    <row r="32" spans="2:4" x14ac:dyDescent="0.25">
      <c r="B32">
        <v>34</v>
      </c>
      <c r="C32" s="26" t="s">
        <v>128</v>
      </c>
      <c r="D32" t="s">
        <v>195</v>
      </c>
    </row>
    <row r="33" spans="2:4" x14ac:dyDescent="0.25">
      <c r="B33">
        <v>35</v>
      </c>
      <c r="C33" s="26" t="s">
        <v>130</v>
      </c>
      <c r="D33" t="s">
        <v>195</v>
      </c>
    </row>
    <row r="34" spans="2:4" x14ac:dyDescent="0.25">
      <c r="B34">
        <v>36</v>
      </c>
      <c r="C34" s="26" t="s">
        <v>132</v>
      </c>
      <c r="D34" t="s">
        <v>195</v>
      </c>
    </row>
    <row r="35" spans="2:4" x14ac:dyDescent="0.25">
      <c r="B35">
        <v>37</v>
      </c>
      <c r="C35" s="26" t="s">
        <v>134</v>
      </c>
      <c r="D35" t="s">
        <v>195</v>
      </c>
    </row>
    <row r="36" spans="2:4" x14ac:dyDescent="0.25">
      <c r="B36">
        <v>38</v>
      </c>
      <c r="C36" s="26" t="s">
        <v>136</v>
      </c>
      <c r="D36" t="s">
        <v>195</v>
      </c>
    </row>
    <row r="37" spans="2:4" x14ac:dyDescent="0.25">
      <c r="B37">
        <v>39</v>
      </c>
      <c r="C37" s="38" t="s">
        <v>138</v>
      </c>
      <c r="D37" t="s">
        <v>195</v>
      </c>
    </row>
    <row r="38" spans="2:4" x14ac:dyDescent="0.25">
      <c r="B38">
        <v>40</v>
      </c>
      <c r="C38" s="26" t="s">
        <v>140</v>
      </c>
      <c r="D38" t="s">
        <v>195</v>
      </c>
    </row>
    <row r="39" spans="2:4" x14ac:dyDescent="0.25">
      <c r="B39">
        <v>41</v>
      </c>
      <c r="C39" s="26" t="s">
        <v>141</v>
      </c>
      <c r="D39" t="s">
        <v>195</v>
      </c>
    </row>
    <row r="40" spans="2:4" x14ac:dyDescent="0.25">
      <c r="B40">
        <v>42</v>
      </c>
      <c r="C40" s="26" t="s">
        <v>142</v>
      </c>
      <c r="D40" t="s">
        <v>195</v>
      </c>
    </row>
    <row r="41" spans="2:4" x14ac:dyDescent="0.25">
      <c r="B41">
        <v>43</v>
      </c>
      <c r="C41" s="26" t="s">
        <v>144</v>
      </c>
      <c r="D41" t="s">
        <v>195</v>
      </c>
    </row>
    <row r="42" spans="2:4" x14ac:dyDescent="0.25">
      <c r="B42">
        <v>44</v>
      </c>
      <c r="C42" s="26" t="s">
        <v>145</v>
      </c>
      <c r="D42" t="s">
        <v>195</v>
      </c>
    </row>
    <row r="43" spans="2:4" x14ac:dyDescent="0.25">
      <c r="B43">
        <v>45</v>
      </c>
      <c r="C43" s="26" t="s">
        <v>146</v>
      </c>
      <c r="D43" t="s">
        <v>195</v>
      </c>
    </row>
    <row r="44" spans="2:4" x14ac:dyDescent="0.25">
      <c r="B44">
        <v>46</v>
      </c>
      <c r="C44" s="26" t="s">
        <v>147</v>
      </c>
      <c r="D44" t="s">
        <v>195</v>
      </c>
    </row>
    <row r="45" spans="2:4" ht="15.75" thickBot="1" x14ac:dyDescent="0.3">
      <c r="B45">
        <v>47</v>
      </c>
      <c r="C45" s="27" t="s">
        <v>148</v>
      </c>
      <c r="D45" t="s">
        <v>195</v>
      </c>
    </row>
    <row r="46" spans="2:4" x14ac:dyDescent="0.25">
      <c r="B46">
        <v>48</v>
      </c>
      <c r="C46" s="15" t="s">
        <v>175</v>
      </c>
      <c r="D46" t="s">
        <v>195</v>
      </c>
    </row>
    <row r="47" spans="2:4" x14ac:dyDescent="0.25">
      <c r="B47">
        <v>49</v>
      </c>
      <c r="C47" s="15" t="s">
        <v>176</v>
      </c>
      <c r="D47" t="s">
        <v>195</v>
      </c>
    </row>
    <row r="48" spans="2:4" x14ac:dyDescent="0.25">
      <c r="B48">
        <v>50</v>
      </c>
      <c r="C48" s="15" t="s">
        <v>177</v>
      </c>
      <c r="D48" t="s">
        <v>195</v>
      </c>
    </row>
    <row r="49" spans="2:4" x14ac:dyDescent="0.25">
      <c r="B49">
        <v>51</v>
      </c>
      <c r="C49" s="15" t="s">
        <v>178</v>
      </c>
      <c r="D49" t="s">
        <v>195</v>
      </c>
    </row>
    <row r="50" spans="2:4" x14ac:dyDescent="0.25">
      <c r="B50">
        <v>52</v>
      </c>
      <c r="C50" s="15" t="s">
        <v>179</v>
      </c>
      <c r="D50" t="s">
        <v>195</v>
      </c>
    </row>
    <row r="51" spans="2:4" x14ac:dyDescent="0.25">
      <c r="B51">
        <v>53</v>
      </c>
      <c r="C51" s="15" t="s">
        <v>180</v>
      </c>
      <c r="D51" t="s">
        <v>195</v>
      </c>
    </row>
    <row r="52" spans="2:4" x14ac:dyDescent="0.25">
      <c r="B52">
        <v>54</v>
      </c>
      <c r="C52" s="15" t="s">
        <v>181</v>
      </c>
      <c r="D52" t="s">
        <v>195</v>
      </c>
    </row>
    <row r="53" spans="2:4" x14ac:dyDescent="0.25">
      <c r="B53">
        <v>55</v>
      </c>
      <c r="C53" s="30" t="s">
        <v>183</v>
      </c>
      <c r="D53" t="s">
        <v>195</v>
      </c>
    </row>
    <row r="54" spans="2:4" x14ac:dyDescent="0.25">
      <c r="B54">
        <v>56</v>
      </c>
      <c r="C54" s="15" t="s">
        <v>185</v>
      </c>
      <c r="D54" t="s">
        <v>195</v>
      </c>
    </row>
    <row r="55" spans="2:4" x14ac:dyDescent="0.25">
      <c r="B55">
        <v>57</v>
      </c>
      <c r="C55" s="15" t="s">
        <v>187</v>
      </c>
      <c r="D55" t="s">
        <v>195</v>
      </c>
    </row>
    <row r="56" spans="2:4" x14ac:dyDescent="0.25">
      <c r="B56">
        <v>58</v>
      </c>
      <c r="C56" s="15" t="s">
        <v>189</v>
      </c>
      <c r="D56" t="s">
        <v>195</v>
      </c>
    </row>
    <row r="57" spans="2:4" x14ac:dyDescent="0.25">
      <c r="B57">
        <v>59</v>
      </c>
      <c r="C57" s="15" t="s">
        <v>190</v>
      </c>
      <c r="D57" t="s">
        <v>195</v>
      </c>
    </row>
    <row r="58" spans="2:4" x14ac:dyDescent="0.25">
      <c r="B58">
        <v>60</v>
      </c>
      <c r="C58" s="15" t="s">
        <v>191</v>
      </c>
      <c r="D58" t="s">
        <v>195</v>
      </c>
    </row>
    <row r="59" spans="2:4" x14ac:dyDescent="0.25">
      <c r="B59">
        <v>61</v>
      </c>
      <c r="C59" s="15" t="s">
        <v>192</v>
      </c>
      <c r="D59" t="s">
        <v>195</v>
      </c>
    </row>
    <row r="60" spans="2:4" x14ac:dyDescent="0.25">
      <c r="B60">
        <v>62</v>
      </c>
      <c r="C60" s="15" t="s">
        <v>193</v>
      </c>
      <c r="D60" t="s">
        <v>195</v>
      </c>
    </row>
    <row r="61" spans="2:4" ht="15.75" thickBot="1" x14ac:dyDescent="0.3">
      <c r="B61">
        <v>63</v>
      </c>
      <c r="C61" s="16" t="s">
        <v>194</v>
      </c>
      <c r="D61" t="s">
        <v>195</v>
      </c>
    </row>
    <row r="62" spans="2:4" x14ac:dyDescent="0.25">
      <c r="B62">
        <v>64</v>
      </c>
      <c r="C62" s="24" t="s">
        <v>125</v>
      </c>
      <c r="D62" t="s">
        <v>195</v>
      </c>
    </row>
    <row r="63" spans="2:4" x14ac:dyDescent="0.25">
      <c r="B63">
        <v>65</v>
      </c>
      <c r="C63" s="24" t="s">
        <v>127</v>
      </c>
      <c r="D63" t="s">
        <v>195</v>
      </c>
    </row>
    <row r="64" spans="2:4" x14ac:dyDescent="0.25">
      <c r="B64">
        <v>66</v>
      </c>
      <c r="C64" s="24" t="s">
        <v>129</v>
      </c>
      <c r="D64" t="s">
        <v>195</v>
      </c>
    </row>
    <row r="65" spans="2:4" x14ac:dyDescent="0.25">
      <c r="B65">
        <v>67</v>
      </c>
      <c r="C65" s="24" t="s">
        <v>131</v>
      </c>
      <c r="D65" t="s">
        <v>195</v>
      </c>
    </row>
    <row r="66" spans="2:4" x14ac:dyDescent="0.25">
      <c r="B66">
        <v>68</v>
      </c>
      <c r="C66" s="24" t="s">
        <v>133</v>
      </c>
      <c r="D66" t="s">
        <v>195</v>
      </c>
    </row>
    <row r="67" spans="2:4" ht="15.75" thickBot="1" x14ac:dyDescent="0.3">
      <c r="B67">
        <v>69</v>
      </c>
      <c r="C67" s="37" t="s">
        <v>135</v>
      </c>
      <c r="D67" t="s">
        <v>195</v>
      </c>
    </row>
    <row r="68" spans="2:4" x14ac:dyDescent="0.25">
      <c r="B68">
        <v>70</v>
      </c>
    </row>
    <row r="69" spans="2:4" x14ac:dyDescent="0.25">
      <c r="B69">
        <v>71</v>
      </c>
    </row>
    <row r="70" spans="2:4" x14ac:dyDescent="0.25">
      <c r="B70">
        <v>72</v>
      </c>
    </row>
    <row r="71" spans="2:4" x14ac:dyDescent="0.25">
      <c r="B71">
        <v>73</v>
      </c>
    </row>
    <row r="72" spans="2:4" x14ac:dyDescent="0.25">
      <c r="B72">
        <v>74</v>
      </c>
    </row>
    <row r="73" spans="2:4" x14ac:dyDescent="0.25">
      <c r="B73">
        <v>75</v>
      </c>
    </row>
    <row r="74" spans="2:4" x14ac:dyDescent="0.25">
      <c r="B74">
        <v>76</v>
      </c>
    </row>
    <row r="75" spans="2:4" x14ac:dyDescent="0.25">
      <c r="B75">
        <v>77</v>
      </c>
    </row>
    <row r="76" spans="2:4" x14ac:dyDescent="0.25">
      <c r="B76">
        <v>78</v>
      </c>
    </row>
    <row r="77" spans="2:4" x14ac:dyDescent="0.25">
      <c r="B77">
        <v>79</v>
      </c>
    </row>
    <row r="78" spans="2:4" x14ac:dyDescent="0.25">
      <c r="B78">
        <v>80</v>
      </c>
    </row>
    <row r="79" spans="2:4" x14ac:dyDescent="0.25">
      <c r="B79">
        <v>81</v>
      </c>
    </row>
    <row r="80" spans="2:4" x14ac:dyDescent="0.25">
      <c r="B80">
        <v>82</v>
      </c>
    </row>
    <row r="81" spans="2:2" x14ac:dyDescent="0.25">
      <c r="B81">
        <v>83</v>
      </c>
    </row>
    <row r="82" spans="2:2" x14ac:dyDescent="0.25">
      <c r="B82">
        <v>84</v>
      </c>
    </row>
    <row r="83" spans="2:2" x14ac:dyDescent="0.25">
      <c r="B83">
        <v>85</v>
      </c>
    </row>
    <row r="84" spans="2:2" x14ac:dyDescent="0.25">
      <c r="B84">
        <v>86</v>
      </c>
    </row>
    <row r="85" spans="2:2" x14ac:dyDescent="0.25">
      <c r="B85">
        <v>87</v>
      </c>
    </row>
    <row r="86" spans="2:2" x14ac:dyDescent="0.25">
      <c r="B86">
        <v>88</v>
      </c>
    </row>
    <row r="87" spans="2:2" x14ac:dyDescent="0.25">
      <c r="B87">
        <v>89</v>
      </c>
    </row>
    <row r="88" spans="2:2" x14ac:dyDescent="0.25">
      <c r="B88">
        <v>90</v>
      </c>
    </row>
    <row r="89" spans="2:2" x14ac:dyDescent="0.25">
      <c r="B89">
        <v>91</v>
      </c>
    </row>
    <row r="90" spans="2:2" x14ac:dyDescent="0.25">
      <c r="B90">
        <v>92</v>
      </c>
    </row>
    <row r="91" spans="2:2" x14ac:dyDescent="0.25">
      <c r="B91">
        <v>93</v>
      </c>
    </row>
    <row r="92" spans="2:2" x14ac:dyDescent="0.25">
      <c r="B92">
        <v>94</v>
      </c>
    </row>
    <row r="93" spans="2:2" x14ac:dyDescent="0.25">
      <c r="B93">
        <v>95</v>
      </c>
    </row>
    <row r="94" spans="2:2" x14ac:dyDescent="0.25">
      <c r="B94">
        <v>96</v>
      </c>
    </row>
    <row r="95" spans="2:2" x14ac:dyDescent="0.25">
      <c r="B95">
        <v>97</v>
      </c>
    </row>
    <row r="96" spans="2:2" x14ac:dyDescent="0.25">
      <c r="B96">
        <v>98</v>
      </c>
    </row>
    <row r="97" spans="2:2" x14ac:dyDescent="0.25">
      <c r="B97">
        <v>99</v>
      </c>
    </row>
    <row r="98" spans="2:2" x14ac:dyDescent="0.25">
      <c r="B98">
        <v>100</v>
      </c>
    </row>
    <row r="99" spans="2:2" x14ac:dyDescent="0.25">
      <c r="B99">
        <v>101</v>
      </c>
    </row>
    <row r="100" spans="2:2" x14ac:dyDescent="0.25">
      <c r="B100">
        <v>102</v>
      </c>
    </row>
    <row r="101" spans="2:2" x14ac:dyDescent="0.25">
      <c r="B101">
        <v>103</v>
      </c>
    </row>
    <row r="102" spans="2:2" x14ac:dyDescent="0.25">
      <c r="B102">
        <v>104</v>
      </c>
    </row>
    <row r="103" spans="2:2" x14ac:dyDescent="0.25">
      <c r="B103">
        <v>105</v>
      </c>
    </row>
    <row r="104" spans="2:2" x14ac:dyDescent="0.25">
      <c r="B104">
        <v>106</v>
      </c>
    </row>
    <row r="105" spans="2:2" x14ac:dyDescent="0.25">
      <c r="B105">
        <v>107</v>
      </c>
    </row>
    <row r="106" spans="2:2" x14ac:dyDescent="0.25">
      <c r="B106">
        <v>108</v>
      </c>
    </row>
    <row r="107" spans="2:2" x14ac:dyDescent="0.25">
      <c r="B107">
        <v>109</v>
      </c>
    </row>
    <row r="108" spans="2:2" x14ac:dyDescent="0.25">
      <c r="B108">
        <v>110</v>
      </c>
    </row>
    <row r="109" spans="2:2" x14ac:dyDescent="0.25">
      <c r="B109">
        <v>111</v>
      </c>
    </row>
    <row r="110" spans="2:2" x14ac:dyDescent="0.25">
      <c r="B110">
        <v>112</v>
      </c>
    </row>
    <row r="111" spans="2:2" x14ac:dyDescent="0.25">
      <c r="B111">
        <v>113</v>
      </c>
    </row>
    <row r="112" spans="2:2" x14ac:dyDescent="0.25">
      <c r="B112">
        <v>114</v>
      </c>
    </row>
    <row r="113" spans="2:2" x14ac:dyDescent="0.25">
      <c r="B113">
        <v>115</v>
      </c>
    </row>
    <row r="114" spans="2:2" x14ac:dyDescent="0.25">
      <c r="B114">
        <v>116</v>
      </c>
    </row>
    <row r="115" spans="2:2" x14ac:dyDescent="0.25">
      <c r="B115">
        <v>117</v>
      </c>
    </row>
    <row r="116" spans="2:2" x14ac:dyDescent="0.25">
      <c r="B116">
        <v>118</v>
      </c>
    </row>
    <row r="117" spans="2:2" x14ac:dyDescent="0.25">
      <c r="B117">
        <v>119</v>
      </c>
    </row>
    <row r="118" spans="2:2" x14ac:dyDescent="0.25">
      <c r="B118">
        <v>120</v>
      </c>
    </row>
    <row r="119" spans="2:2" x14ac:dyDescent="0.25">
      <c r="B119">
        <v>121</v>
      </c>
    </row>
    <row r="120" spans="2:2" x14ac:dyDescent="0.25">
      <c r="B120">
        <v>122</v>
      </c>
    </row>
    <row r="121" spans="2:2" x14ac:dyDescent="0.25">
      <c r="B121">
        <v>123</v>
      </c>
    </row>
    <row r="122" spans="2:2" x14ac:dyDescent="0.25">
      <c r="B122">
        <v>124</v>
      </c>
    </row>
    <row r="123" spans="2:2" x14ac:dyDescent="0.25">
      <c r="B123">
        <v>125</v>
      </c>
    </row>
    <row r="124" spans="2:2" x14ac:dyDescent="0.25">
      <c r="B124">
        <v>126</v>
      </c>
    </row>
    <row r="125" spans="2:2" x14ac:dyDescent="0.25">
      <c r="B125">
        <v>127</v>
      </c>
    </row>
    <row r="126" spans="2:2" x14ac:dyDescent="0.25">
      <c r="B126">
        <v>128</v>
      </c>
    </row>
    <row r="127" spans="2:2" x14ac:dyDescent="0.25">
      <c r="B127">
        <v>129</v>
      </c>
    </row>
    <row r="128" spans="2:2" x14ac:dyDescent="0.25">
      <c r="B128">
        <v>130</v>
      </c>
    </row>
    <row r="129" spans="2:2" x14ac:dyDescent="0.25">
      <c r="B129">
        <v>131</v>
      </c>
    </row>
    <row r="130" spans="2:2" x14ac:dyDescent="0.25">
      <c r="B130">
        <v>132</v>
      </c>
    </row>
    <row r="131" spans="2:2" x14ac:dyDescent="0.25">
      <c r="B131">
        <v>133</v>
      </c>
    </row>
    <row r="132" spans="2:2" x14ac:dyDescent="0.25">
      <c r="B132">
        <v>134</v>
      </c>
    </row>
    <row r="133" spans="2:2" x14ac:dyDescent="0.25">
      <c r="B133">
        <v>135</v>
      </c>
    </row>
    <row r="134" spans="2:2" x14ac:dyDescent="0.25">
      <c r="B134">
        <v>136</v>
      </c>
    </row>
    <row r="135" spans="2:2" x14ac:dyDescent="0.25">
      <c r="B135">
        <v>137</v>
      </c>
    </row>
    <row r="136" spans="2:2" x14ac:dyDescent="0.25">
      <c r="B136">
        <v>138</v>
      </c>
    </row>
    <row r="137" spans="2:2" x14ac:dyDescent="0.25">
      <c r="B137">
        <v>139</v>
      </c>
    </row>
    <row r="138" spans="2:2" x14ac:dyDescent="0.25">
      <c r="B138">
        <v>140</v>
      </c>
    </row>
    <row r="139" spans="2:2" x14ac:dyDescent="0.25">
      <c r="B139">
        <v>141</v>
      </c>
    </row>
    <row r="140" spans="2:2" x14ac:dyDescent="0.25">
      <c r="B140">
        <v>142</v>
      </c>
    </row>
    <row r="141" spans="2:2" x14ac:dyDescent="0.25">
      <c r="B141">
        <v>143</v>
      </c>
    </row>
    <row r="142" spans="2:2" x14ac:dyDescent="0.25">
      <c r="B142">
        <v>144</v>
      </c>
    </row>
    <row r="143" spans="2:2" x14ac:dyDescent="0.25">
      <c r="B143">
        <v>145</v>
      </c>
    </row>
    <row r="144" spans="2:2" x14ac:dyDescent="0.25">
      <c r="B144">
        <v>146</v>
      </c>
    </row>
    <row r="145" spans="2:2" x14ac:dyDescent="0.25">
      <c r="B145">
        <v>147</v>
      </c>
    </row>
    <row r="146" spans="2:2" x14ac:dyDescent="0.25">
      <c r="B146">
        <v>148</v>
      </c>
    </row>
    <row r="147" spans="2:2" x14ac:dyDescent="0.25">
      <c r="B147">
        <v>149</v>
      </c>
    </row>
    <row r="148" spans="2:2" x14ac:dyDescent="0.25">
      <c r="B148">
        <v>150</v>
      </c>
    </row>
    <row r="149" spans="2:2" x14ac:dyDescent="0.25">
      <c r="B149">
        <v>151</v>
      </c>
    </row>
    <row r="150" spans="2:2" x14ac:dyDescent="0.25">
      <c r="B150">
        <v>152</v>
      </c>
    </row>
    <row r="151" spans="2:2" x14ac:dyDescent="0.25">
      <c r="B151">
        <v>153</v>
      </c>
    </row>
    <row r="152" spans="2:2" x14ac:dyDescent="0.25">
      <c r="B152">
        <v>154</v>
      </c>
    </row>
    <row r="153" spans="2:2" x14ac:dyDescent="0.25">
      <c r="B153">
        <v>155</v>
      </c>
    </row>
    <row r="154" spans="2:2" x14ac:dyDescent="0.25">
      <c r="B154">
        <v>156</v>
      </c>
    </row>
    <row r="155" spans="2:2" x14ac:dyDescent="0.25">
      <c r="B155">
        <v>157</v>
      </c>
    </row>
    <row r="156" spans="2:2" x14ac:dyDescent="0.25">
      <c r="B156">
        <v>158</v>
      </c>
    </row>
    <row r="157" spans="2:2" x14ac:dyDescent="0.25">
      <c r="B157">
        <v>159</v>
      </c>
    </row>
    <row r="158" spans="2:2" x14ac:dyDescent="0.25">
      <c r="B158">
        <v>160</v>
      </c>
    </row>
    <row r="159" spans="2:2" x14ac:dyDescent="0.25">
      <c r="B159">
        <v>161</v>
      </c>
    </row>
    <row r="160" spans="2:2" x14ac:dyDescent="0.25">
      <c r="B160">
        <v>162</v>
      </c>
    </row>
    <row r="161" spans="2:2" x14ac:dyDescent="0.25">
      <c r="B161">
        <v>163</v>
      </c>
    </row>
    <row r="162" spans="2:2" x14ac:dyDescent="0.25">
      <c r="B162">
        <v>164</v>
      </c>
    </row>
    <row r="163" spans="2:2" x14ac:dyDescent="0.25">
      <c r="B163">
        <v>165</v>
      </c>
    </row>
    <row r="164" spans="2:2" x14ac:dyDescent="0.25">
      <c r="B164">
        <v>166</v>
      </c>
    </row>
    <row r="165" spans="2:2" x14ac:dyDescent="0.25">
      <c r="B165">
        <v>167</v>
      </c>
    </row>
    <row r="166" spans="2:2" x14ac:dyDescent="0.25">
      <c r="B166">
        <v>168</v>
      </c>
    </row>
    <row r="167" spans="2:2" x14ac:dyDescent="0.25">
      <c r="B167">
        <v>169</v>
      </c>
    </row>
    <row r="168" spans="2:2" x14ac:dyDescent="0.25">
      <c r="B168">
        <v>170</v>
      </c>
    </row>
    <row r="169" spans="2:2" x14ac:dyDescent="0.25">
      <c r="B169">
        <v>171</v>
      </c>
    </row>
    <row r="170" spans="2:2" x14ac:dyDescent="0.25">
      <c r="B170">
        <v>172</v>
      </c>
    </row>
    <row r="171" spans="2:2" x14ac:dyDescent="0.25">
      <c r="B171">
        <v>173</v>
      </c>
    </row>
    <row r="172" spans="2:2" x14ac:dyDescent="0.25">
      <c r="B172">
        <v>174</v>
      </c>
    </row>
    <row r="173" spans="2:2" x14ac:dyDescent="0.25">
      <c r="B173">
        <v>175</v>
      </c>
    </row>
    <row r="174" spans="2:2" x14ac:dyDescent="0.25">
      <c r="B174">
        <v>176</v>
      </c>
    </row>
    <row r="175" spans="2:2" x14ac:dyDescent="0.25">
      <c r="B175">
        <v>177</v>
      </c>
    </row>
    <row r="176" spans="2:2" x14ac:dyDescent="0.25">
      <c r="B176">
        <v>178</v>
      </c>
    </row>
    <row r="177" spans="2:2" x14ac:dyDescent="0.25">
      <c r="B177">
        <v>179</v>
      </c>
    </row>
    <row r="178" spans="2:2" x14ac:dyDescent="0.25">
      <c r="B178">
        <v>180</v>
      </c>
    </row>
    <row r="179" spans="2:2" x14ac:dyDescent="0.25">
      <c r="B179">
        <v>181</v>
      </c>
    </row>
    <row r="180" spans="2:2" x14ac:dyDescent="0.25">
      <c r="B180">
        <v>182</v>
      </c>
    </row>
    <row r="181" spans="2:2" x14ac:dyDescent="0.25">
      <c r="B181">
        <v>183</v>
      </c>
    </row>
    <row r="182" spans="2:2" x14ac:dyDescent="0.25">
      <c r="B182">
        <v>184</v>
      </c>
    </row>
    <row r="183" spans="2:2" x14ac:dyDescent="0.25">
      <c r="B183">
        <v>185</v>
      </c>
    </row>
    <row r="184" spans="2:2" x14ac:dyDescent="0.25">
      <c r="B184">
        <v>186</v>
      </c>
    </row>
    <row r="185" spans="2:2" x14ac:dyDescent="0.25">
      <c r="B185">
        <v>187</v>
      </c>
    </row>
    <row r="186" spans="2:2" x14ac:dyDescent="0.25">
      <c r="B186">
        <v>188</v>
      </c>
    </row>
    <row r="187" spans="2:2" x14ac:dyDescent="0.25">
      <c r="B187">
        <v>189</v>
      </c>
    </row>
    <row r="188" spans="2:2" x14ac:dyDescent="0.25">
      <c r="B188">
        <v>190</v>
      </c>
    </row>
    <row r="189" spans="2:2" x14ac:dyDescent="0.25">
      <c r="B189">
        <v>191</v>
      </c>
    </row>
    <row r="190" spans="2:2" x14ac:dyDescent="0.25">
      <c r="B190">
        <v>192</v>
      </c>
    </row>
    <row r="191" spans="2:2" x14ac:dyDescent="0.25">
      <c r="B191">
        <v>193</v>
      </c>
    </row>
    <row r="192" spans="2:2" x14ac:dyDescent="0.25">
      <c r="B192">
        <v>194</v>
      </c>
    </row>
    <row r="193" spans="2:2" x14ac:dyDescent="0.25">
      <c r="B193">
        <v>195</v>
      </c>
    </row>
    <row r="194" spans="2:2" x14ac:dyDescent="0.25">
      <c r="B194">
        <v>196</v>
      </c>
    </row>
    <row r="195" spans="2:2" x14ac:dyDescent="0.25">
      <c r="B195">
        <v>197</v>
      </c>
    </row>
    <row r="196" spans="2:2" x14ac:dyDescent="0.25">
      <c r="B196">
        <v>198</v>
      </c>
    </row>
    <row r="197" spans="2:2" x14ac:dyDescent="0.25">
      <c r="B197">
        <v>199</v>
      </c>
    </row>
    <row r="198" spans="2:2" x14ac:dyDescent="0.25">
      <c r="B198">
        <v>200</v>
      </c>
    </row>
    <row r="199" spans="2:2" x14ac:dyDescent="0.25">
      <c r="B199">
        <v>201</v>
      </c>
    </row>
    <row r="200" spans="2:2" x14ac:dyDescent="0.25">
      <c r="B200">
        <v>202</v>
      </c>
    </row>
    <row r="201" spans="2:2" x14ac:dyDescent="0.25">
      <c r="B201">
        <v>203</v>
      </c>
    </row>
    <row r="202" spans="2:2" x14ac:dyDescent="0.25">
      <c r="B202">
        <v>204</v>
      </c>
    </row>
    <row r="203" spans="2:2" x14ac:dyDescent="0.25">
      <c r="B203">
        <v>205</v>
      </c>
    </row>
    <row r="204" spans="2:2" x14ac:dyDescent="0.25">
      <c r="B204">
        <v>206</v>
      </c>
    </row>
    <row r="205" spans="2:2" x14ac:dyDescent="0.25">
      <c r="B205">
        <v>207</v>
      </c>
    </row>
    <row r="206" spans="2:2" x14ac:dyDescent="0.25">
      <c r="B206">
        <v>208</v>
      </c>
    </row>
    <row r="207" spans="2:2" x14ac:dyDescent="0.25">
      <c r="B207">
        <v>209</v>
      </c>
    </row>
    <row r="208" spans="2:2" x14ac:dyDescent="0.25">
      <c r="B208">
        <v>210</v>
      </c>
    </row>
    <row r="209" spans="2:2" x14ac:dyDescent="0.25">
      <c r="B209">
        <v>211</v>
      </c>
    </row>
    <row r="210" spans="2:2" x14ac:dyDescent="0.25">
      <c r="B210">
        <v>212</v>
      </c>
    </row>
    <row r="211" spans="2:2" x14ac:dyDescent="0.25">
      <c r="B211">
        <v>213</v>
      </c>
    </row>
    <row r="212" spans="2:2" x14ac:dyDescent="0.25">
      <c r="B212">
        <v>214</v>
      </c>
    </row>
    <row r="213" spans="2:2" x14ac:dyDescent="0.25">
      <c r="B213">
        <v>215</v>
      </c>
    </row>
    <row r="214" spans="2:2" x14ac:dyDescent="0.25">
      <c r="B214">
        <v>216</v>
      </c>
    </row>
    <row r="215" spans="2:2" x14ac:dyDescent="0.25">
      <c r="B215">
        <v>217</v>
      </c>
    </row>
    <row r="216" spans="2:2" x14ac:dyDescent="0.25">
      <c r="B216">
        <v>218</v>
      </c>
    </row>
    <row r="217" spans="2:2" x14ac:dyDescent="0.25">
      <c r="B217">
        <v>219</v>
      </c>
    </row>
    <row r="218" spans="2:2" x14ac:dyDescent="0.25">
      <c r="B218">
        <v>220</v>
      </c>
    </row>
    <row r="219" spans="2:2" x14ac:dyDescent="0.25">
      <c r="B219">
        <v>221</v>
      </c>
    </row>
    <row r="220" spans="2:2" x14ac:dyDescent="0.25">
      <c r="B220">
        <v>222</v>
      </c>
    </row>
    <row r="221" spans="2:2" x14ac:dyDescent="0.25">
      <c r="B221">
        <v>223</v>
      </c>
    </row>
    <row r="222" spans="2:2" x14ac:dyDescent="0.25">
      <c r="B222">
        <v>224</v>
      </c>
    </row>
    <row r="223" spans="2:2" x14ac:dyDescent="0.25">
      <c r="B223">
        <v>225</v>
      </c>
    </row>
    <row r="224" spans="2:2" x14ac:dyDescent="0.25">
      <c r="B224">
        <v>226</v>
      </c>
    </row>
    <row r="225" spans="2:2" x14ac:dyDescent="0.25">
      <c r="B225">
        <v>227</v>
      </c>
    </row>
    <row r="226" spans="2:2" x14ac:dyDescent="0.25">
      <c r="B226">
        <v>228</v>
      </c>
    </row>
    <row r="227" spans="2:2" x14ac:dyDescent="0.25">
      <c r="B227">
        <v>229</v>
      </c>
    </row>
    <row r="228" spans="2:2" x14ac:dyDescent="0.25">
      <c r="B228">
        <v>230</v>
      </c>
    </row>
    <row r="229" spans="2:2" x14ac:dyDescent="0.25">
      <c r="B229">
        <v>231</v>
      </c>
    </row>
    <row r="230" spans="2:2" x14ac:dyDescent="0.25">
      <c r="B230">
        <v>232</v>
      </c>
    </row>
    <row r="231" spans="2:2" x14ac:dyDescent="0.25">
      <c r="B231">
        <v>233</v>
      </c>
    </row>
    <row r="232" spans="2:2" x14ac:dyDescent="0.25">
      <c r="B232">
        <v>234</v>
      </c>
    </row>
    <row r="233" spans="2:2" x14ac:dyDescent="0.25">
      <c r="B233">
        <v>235</v>
      </c>
    </row>
    <row r="234" spans="2:2" x14ac:dyDescent="0.25">
      <c r="B234">
        <v>236</v>
      </c>
    </row>
    <row r="235" spans="2:2" x14ac:dyDescent="0.25">
      <c r="B235">
        <v>237</v>
      </c>
    </row>
    <row r="236" spans="2:2" x14ac:dyDescent="0.25">
      <c r="B236">
        <v>238</v>
      </c>
    </row>
    <row r="237" spans="2:2" x14ac:dyDescent="0.25">
      <c r="B237">
        <v>239</v>
      </c>
    </row>
    <row r="238" spans="2:2" x14ac:dyDescent="0.25">
      <c r="B238">
        <v>240</v>
      </c>
    </row>
    <row r="239" spans="2:2" x14ac:dyDescent="0.25">
      <c r="B239">
        <v>241</v>
      </c>
    </row>
    <row r="240" spans="2:2" x14ac:dyDescent="0.25">
      <c r="B240">
        <v>242</v>
      </c>
    </row>
    <row r="241" spans="2:2" x14ac:dyDescent="0.25">
      <c r="B241">
        <v>243</v>
      </c>
    </row>
    <row r="242" spans="2:2" x14ac:dyDescent="0.25">
      <c r="B242">
        <v>244</v>
      </c>
    </row>
    <row r="243" spans="2:2" x14ac:dyDescent="0.25">
      <c r="B243">
        <v>245</v>
      </c>
    </row>
    <row r="244" spans="2:2" x14ac:dyDescent="0.25">
      <c r="B244">
        <v>246</v>
      </c>
    </row>
    <row r="245" spans="2:2" x14ac:dyDescent="0.25">
      <c r="B245">
        <v>247</v>
      </c>
    </row>
    <row r="246" spans="2:2" x14ac:dyDescent="0.25">
      <c r="B246">
        <v>248</v>
      </c>
    </row>
    <row r="247" spans="2:2" x14ac:dyDescent="0.25">
      <c r="B247">
        <v>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42D5-1F16-4C91-97FA-50110668CBC7}">
  <dimension ref="B1:S31"/>
  <sheetViews>
    <sheetView zoomScale="108" zoomScaleNormal="85" workbookViewId="0">
      <selection activeCell="E6" sqref="E6"/>
    </sheetView>
  </sheetViews>
  <sheetFormatPr defaultColWidth="6.85546875" defaultRowHeight="15" x14ac:dyDescent="0.25"/>
  <cols>
    <col min="5" max="5" width="19.5703125" bestFit="1" customWidth="1"/>
    <col min="6" max="6" width="6.28515625" bestFit="1" customWidth="1"/>
    <col min="7" max="7" width="11.7109375" bestFit="1" customWidth="1"/>
    <col min="9" max="9" width="23.42578125" bestFit="1" customWidth="1"/>
    <col min="11" max="11" width="18.42578125" bestFit="1" customWidth="1"/>
  </cols>
  <sheetData>
    <row r="1" spans="2:19" x14ac:dyDescent="0.25">
      <c r="B1" s="124" t="s">
        <v>9</v>
      </c>
      <c r="C1" s="124"/>
      <c r="D1" s="124" t="s">
        <v>196</v>
      </c>
      <c r="E1" s="124"/>
      <c r="F1" s="124" t="s">
        <v>197</v>
      </c>
      <c r="G1" s="124"/>
      <c r="H1" s="124" t="s">
        <v>198</v>
      </c>
      <c r="I1" s="124"/>
      <c r="J1" s="124" t="s">
        <v>199</v>
      </c>
      <c r="K1" s="124"/>
      <c r="L1" s="124"/>
      <c r="M1" s="124"/>
      <c r="N1" s="124"/>
      <c r="O1" s="124"/>
      <c r="P1" s="124"/>
      <c r="Q1" s="124"/>
      <c r="R1" s="124"/>
      <c r="S1" s="124"/>
    </row>
    <row r="2" spans="2:19" x14ac:dyDescent="0.25">
      <c r="B2" t="s">
        <v>200</v>
      </c>
      <c r="C2" t="s">
        <v>201</v>
      </c>
      <c r="D2" s="124">
        <v>0</v>
      </c>
      <c r="E2" s="124"/>
      <c r="F2" s="124">
        <v>1</v>
      </c>
      <c r="G2" s="124"/>
      <c r="H2" s="124">
        <v>10</v>
      </c>
      <c r="I2" s="124"/>
      <c r="J2" s="124">
        <v>11</v>
      </c>
      <c r="K2" s="124"/>
      <c r="L2" s="124"/>
      <c r="M2" s="124"/>
      <c r="N2" s="124"/>
      <c r="O2" s="124"/>
      <c r="P2" s="124"/>
      <c r="Q2" s="124"/>
      <c r="R2" s="124"/>
      <c r="S2" s="124"/>
    </row>
    <row r="3" spans="2:19" x14ac:dyDescent="0.25">
      <c r="B3">
        <v>0</v>
      </c>
      <c r="C3">
        <v>0</v>
      </c>
      <c r="D3" s="53" t="s">
        <v>202</v>
      </c>
      <c r="E3" t="s">
        <v>203</v>
      </c>
      <c r="F3" s="53" t="s">
        <v>204</v>
      </c>
      <c r="G3" s="52" t="s">
        <v>205</v>
      </c>
      <c r="H3" s="53" t="s">
        <v>206</v>
      </c>
      <c r="I3" s="52" t="s">
        <v>207</v>
      </c>
      <c r="J3" s="53" t="s">
        <v>208</v>
      </c>
      <c r="K3" s="52" t="s">
        <v>209</v>
      </c>
    </row>
    <row r="4" spans="2:19" x14ac:dyDescent="0.25">
      <c r="B4">
        <v>1</v>
      </c>
      <c r="C4">
        <v>1</v>
      </c>
      <c r="D4" t="s">
        <v>210</v>
      </c>
      <c r="E4" t="s">
        <v>211</v>
      </c>
      <c r="F4" s="53" t="s">
        <v>212</v>
      </c>
      <c r="G4" s="52" t="s">
        <v>213</v>
      </c>
      <c r="H4" s="53" t="s">
        <v>214</v>
      </c>
      <c r="I4" s="52" t="s">
        <v>215</v>
      </c>
      <c r="J4" t="s">
        <v>272</v>
      </c>
      <c r="K4" t="s">
        <v>273</v>
      </c>
    </row>
    <row r="5" spans="2:19" x14ac:dyDescent="0.25">
      <c r="B5">
        <v>2</v>
      </c>
      <c r="C5">
        <v>10</v>
      </c>
      <c r="D5" t="s">
        <v>274</v>
      </c>
      <c r="E5" t="s">
        <v>275</v>
      </c>
      <c r="F5" s="53" t="s">
        <v>216</v>
      </c>
      <c r="G5" s="52" t="s">
        <v>217</v>
      </c>
      <c r="H5" s="53" t="s">
        <v>218</v>
      </c>
      <c r="I5" s="52" t="s">
        <v>219</v>
      </c>
    </row>
    <row r="6" spans="2:19" x14ac:dyDescent="0.25">
      <c r="B6">
        <v>3</v>
      </c>
      <c r="C6">
        <v>11</v>
      </c>
      <c r="F6" s="53" t="s">
        <v>220</v>
      </c>
      <c r="G6" s="52" t="s">
        <v>221</v>
      </c>
      <c r="H6" s="53" t="s">
        <v>222</v>
      </c>
      <c r="I6" s="52" t="s">
        <v>223</v>
      </c>
    </row>
    <row r="7" spans="2:19" x14ac:dyDescent="0.25">
      <c r="B7">
        <v>4</v>
      </c>
      <c r="C7">
        <v>100</v>
      </c>
      <c r="F7" s="53" t="s">
        <v>224</v>
      </c>
      <c r="G7" s="52" t="s">
        <v>225</v>
      </c>
    </row>
    <row r="8" spans="2:19" x14ac:dyDescent="0.25">
      <c r="B8">
        <v>5</v>
      </c>
      <c r="C8">
        <v>101</v>
      </c>
      <c r="H8" s="53" t="s">
        <v>226</v>
      </c>
      <c r="I8" s="52" t="s">
        <v>227</v>
      </c>
    </row>
    <row r="9" spans="2:19" x14ac:dyDescent="0.25">
      <c r="B9">
        <v>6</v>
      </c>
      <c r="C9">
        <v>110</v>
      </c>
      <c r="F9" s="53" t="s">
        <v>228</v>
      </c>
      <c r="G9" s="52" t="s">
        <v>229</v>
      </c>
      <c r="H9" s="53" t="s">
        <v>230</v>
      </c>
      <c r="I9" s="52" t="s">
        <v>231</v>
      </c>
    </row>
    <row r="10" spans="2:19" x14ac:dyDescent="0.25">
      <c r="B10">
        <v>7</v>
      </c>
      <c r="C10">
        <v>111</v>
      </c>
      <c r="F10" s="53" t="s">
        <v>232</v>
      </c>
      <c r="G10" s="52" t="s">
        <v>229</v>
      </c>
      <c r="H10" s="53" t="s">
        <v>233</v>
      </c>
      <c r="I10" s="52" t="s">
        <v>234</v>
      </c>
    </row>
    <row r="11" spans="2:19" x14ac:dyDescent="0.25">
      <c r="B11">
        <v>8</v>
      </c>
      <c r="C11">
        <v>1000</v>
      </c>
      <c r="F11" s="53" t="s">
        <v>235</v>
      </c>
      <c r="G11" s="52" t="s">
        <v>229</v>
      </c>
      <c r="H11" s="53" t="s">
        <v>236</v>
      </c>
      <c r="I11" s="52" t="s">
        <v>237</v>
      </c>
    </row>
    <row r="12" spans="2:19" x14ac:dyDescent="0.25">
      <c r="B12">
        <v>9</v>
      </c>
      <c r="C12">
        <v>1001</v>
      </c>
      <c r="F12" s="53" t="s">
        <v>238</v>
      </c>
      <c r="G12" s="52" t="s">
        <v>229</v>
      </c>
      <c r="H12" s="53" t="s">
        <v>239</v>
      </c>
      <c r="I12" s="52" t="s">
        <v>240</v>
      </c>
    </row>
    <row r="13" spans="2:19" x14ac:dyDescent="0.25">
      <c r="B13">
        <v>10</v>
      </c>
      <c r="C13">
        <v>1010</v>
      </c>
      <c r="F13" s="53" t="s">
        <v>241</v>
      </c>
      <c r="G13" s="52" t="s">
        <v>229</v>
      </c>
      <c r="I13" s="52"/>
    </row>
    <row r="14" spans="2:19" x14ac:dyDescent="0.25">
      <c r="B14">
        <v>11</v>
      </c>
      <c r="C14">
        <v>1011</v>
      </c>
    </row>
    <row r="15" spans="2:19" x14ac:dyDescent="0.25">
      <c r="B15">
        <v>12</v>
      </c>
      <c r="C15">
        <v>1100</v>
      </c>
      <c r="G15" s="52"/>
    </row>
    <row r="16" spans="2:19" x14ac:dyDescent="0.25">
      <c r="B16">
        <v>13</v>
      </c>
      <c r="C16">
        <v>1101</v>
      </c>
    </row>
    <row r="17" spans="2:16" x14ac:dyDescent="0.25">
      <c r="B17">
        <v>14</v>
      </c>
      <c r="C17">
        <v>1110</v>
      </c>
    </row>
    <row r="18" spans="2:16" x14ac:dyDescent="0.25">
      <c r="B18">
        <v>15</v>
      </c>
      <c r="C18">
        <v>1111</v>
      </c>
    </row>
    <row r="24" spans="2:16" x14ac:dyDescent="0.25">
      <c r="B24" t="s">
        <v>242</v>
      </c>
    </row>
    <row r="25" spans="2:16" x14ac:dyDescent="0.25">
      <c r="B25" t="s">
        <v>243</v>
      </c>
    </row>
    <row r="26" spans="2:16" x14ac:dyDescent="0.25">
      <c r="B26" t="s">
        <v>244</v>
      </c>
    </row>
    <row r="27" spans="2:16" x14ac:dyDescent="0.25">
      <c r="B27" t="s">
        <v>234</v>
      </c>
      <c r="O27" s="124"/>
      <c r="P27" s="124"/>
    </row>
    <row r="28" spans="2:16" x14ac:dyDescent="0.25">
      <c r="B28" t="s">
        <v>237</v>
      </c>
    </row>
    <row r="29" spans="2:16" x14ac:dyDescent="0.25">
      <c r="B29" t="s">
        <v>240</v>
      </c>
    </row>
    <row r="31" spans="2:16" x14ac:dyDescent="0.25">
      <c r="O31" s="124"/>
      <c r="P31" s="124"/>
    </row>
  </sheetData>
  <mergeCells count="19">
    <mergeCell ref="R1:S1"/>
    <mergeCell ref="B1:C1"/>
    <mergeCell ref="O27:P27"/>
    <mergeCell ref="J2:K2"/>
    <mergeCell ref="L2:M2"/>
    <mergeCell ref="N2:O2"/>
    <mergeCell ref="P2:Q2"/>
    <mergeCell ref="R2:S2"/>
    <mergeCell ref="D1:E1"/>
    <mergeCell ref="F1:G1"/>
    <mergeCell ref="H1:I1"/>
    <mergeCell ref="J1:K1"/>
    <mergeCell ref="L1:M1"/>
    <mergeCell ref="D2:E2"/>
    <mergeCell ref="F2:G2"/>
    <mergeCell ref="H2:I2"/>
    <mergeCell ref="O31:P31"/>
    <mergeCell ref="N1:O1"/>
    <mergeCell ref="P1:Q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DA756-43D1-4A83-A3D6-B2BC56B7D401}">
  <dimension ref="E3:Z30"/>
  <sheetViews>
    <sheetView zoomScale="70" zoomScaleNormal="70" workbookViewId="0">
      <selection activeCell="P6" sqref="P6:W6"/>
    </sheetView>
  </sheetViews>
  <sheetFormatPr defaultColWidth="8.5703125" defaultRowHeight="45" customHeight="1" x14ac:dyDescent="0.25"/>
  <sheetData>
    <row r="3" spans="5:26" ht="45" customHeight="1" x14ac:dyDescent="0.25">
      <c r="E3" s="41"/>
      <c r="F3" s="41" t="s">
        <v>245</v>
      </c>
      <c r="G3" s="41"/>
      <c r="H3" s="1"/>
    </row>
    <row r="4" spans="5:26" ht="45" customHeight="1" x14ac:dyDescent="0.25">
      <c r="E4" s="41" t="s">
        <v>246</v>
      </c>
      <c r="F4" s="41"/>
      <c r="G4" s="41" t="s">
        <v>247</v>
      </c>
      <c r="H4" s="1"/>
    </row>
    <row r="5" spans="5:26" ht="45" customHeight="1" x14ac:dyDescent="0.25">
      <c r="E5" s="41"/>
      <c r="F5" s="41" t="s">
        <v>248</v>
      </c>
      <c r="G5" s="41"/>
      <c r="H5" s="1"/>
    </row>
    <row r="6" spans="5:26" ht="45" customHeight="1" x14ac:dyDescent="0.25">
      <c r="E6" s="41" t="s">
        <v>249</v>
      </c>
      <c r="F6" s="41"/>
      <c r="G6" s="41" t="s">
        <v>250</v>
      </c>
      <c r="H6" s="1"/>
      <c r="O6" s="42" t="s">
        <v>251</v>
      </c>
      <c r="P6" s="43">
        <v>1</v>
      </c>
      <c r="Q6" s="43">
        <v>2</v>
      </c>
      <c r="R6" s="43">
        <v>3</v>
      </c>
      <c r="S6" s="43">
        <v>4</v>
      </c>
      <c r="T6" s="43">
        <v>5</v>
      </c>
      <c r="U6" s="43">
        <v>6</v>
      </c>
      <c r="V6" s="43">
        <v>7</v>
      </c>
      <c r="W6" s="45">
        <v>8</v>
      </c>
      <c r="Z6" t="s">
        <v>252</v>
      </c>
    </row>
    <row r="7" spans="5:26" ht="45" customHeight="1" x14ac:dyDescent="0.25">
      <c r="E7" s="41"/>
      <c r="F7" s="41"/>
      <c r="G7" s="41"/>
      <c r="H7" s="1"/>
      <c r="O7" s="44">
        <v>0</v>
      </c>
      <c r="P7">
        <v>1</v>
      </c>
      <c r="Q7">
        <v>1</v>
      </c>
      <c r="R7">
        <v>1</v>
      </c>
      <c r="S7">
        <v>0</v>
      </c>
      <c r="T7">
        <v>1</v>
      </c>
      <c r="U7">
        <v>1</v>
      </c>
      <c r="V7">
        <v>1</v>
      </c>
      <c r="W7">
        <v>0</v>
      </c>
      <c r="Y7" s="44"/>
      <c r="Z7">
        <f>W7*1+V7*2+U7*4+T7*8+S7*16+R7*32+Q7*64+P7*128</f>
        <v>238</v>
      </c>
    </row>
    <row r="8" spans="5:26" ht="45" customHeight="1" x14ac:dyDescent="0.25">
      <c r="E8" s="41"/>
      <c r="F8" s="41" t="s">
        <v>253</v>
      </c>
      <c r="G8" s="41"/>
      <c r="H8" s="1" t="s">
        <v>254</v>
      </c>
      <c r="O8" s="44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Y8" s="44">
        <v>1</v>
      </c>
      <c r="Z8">
        <f>W8*1+V8*2+U8*4+T8*8+S8*16+R8*32+Q8*64+P8*128</f>
        <v>36</v>
      </c>
    </row>
    <row r="9" spans="5:26" ht="45" customHeight="1" x14ac:dyDescent="0.25">
      <c r="O9" s="44">
        <v>2</v>
      </c>
      <c r="P9">
        <v>1</v>
      </c>
      <c r="Q9">
        <v>0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Y9" s="44">
        <v>2</v>
      </c>
      <c r="Z9">
        <f t="shared" ref="Z9:Z16" si="0">W9*1+V9*2+U9*4+T9*8+S9*16+R9*32+Q9*64+P9*128</f>
        <v>186</v>
      </c>
    </row>
    <row r="10" spans="5:26" ht="45" customHeight="1" x14ac:dyDescent="0.25">
      <c r="E10" s="41"/>
      <c r="F10" s="41">
        <v>1</v>
      </c>
      <c r="G10" s="41"/>
      <c r="H10" s="41"/>
      <c r="I10" s="41"/>
      <c r="O10" s="44">
        <v>3</v>
      </c>
      <c r="P10">
        <v>1</v>
      </c>
      <c r="Q10">
        <v>0</v>
      </c>
      <c r="R10">
        <v>1</v>
      </c>
      <c r="S10">
        <v>1</v>
      </c>
      <c r="T10">
        <v>0</v>
      </c>
      <c r="U10">
        <v>1</v>
      </c>
      <c r="V10">
        <v>1</v>
      </c>
      <c r="W10">
        <v>0</v>
      </c>
      <c r="Y10" s="44">
        <v>3</v>
      </c>
      <c r="Z10">
        <f t="shared" si="0"/>
        <v>182</v>
      </c>
    </row>
    <row r="11" spans="5:26" ht="45" customHeight="1" x14ac:dyDescent="0.25">
      <c r="E11" s="41">
        <v>2</v>
      </c>
      <c r="F11" s="41"/>
      <c r="G11" s="41">
        <v>3</v>
      </c>
      <c r="H11" s="41"/>
      <c r="I11" s="41"/>
      <c r="O11" s="44">
        <v>4</v>
      </c>
      <c r="P11">
        <v>0</v>
      </c>
      <c r="Q11">
        <v>1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  <c r="Y11" s="44">
        <v>4</v>
      </c>
      <c r="Z11">
        <f t="shared" si="0"/>
        <v>116</v>
      </c>
    </row>
    <row r="12" spans="5:26" ht="45" customHeight="1" x14ac:dyDescent="0.25">
      <c r="E12" s="41"/>
      <c r="F12" s="41">
        <v>4</v>
      </c>
      <c r="G12" s="41"/>
      <c r="H12" s="41"/>
      <c r="I12" s="41"/>
      <c r="O12" s="44">
        <v>5</v>
      </c>
      <c r="P12">
        <v>1</v>
      </c>
      <c r="Q12">
        <v>1</v>
      </c>
      <c r="R12">
        <v>0</v>
      </c>
      <c r="S12">
        <v>1</v>
      </c>
      <c r="T12">
        <v>0</v>
      </c>
      <c r="U12">
        <v>1</v>
      </c>
      <c r="V12">
        <v>1</v>
      </c>
      <c r="W12">
        <v>0</v>
      </c>
      <c r="Y12" s="44">
        <v>5</v>
      </c>
      <c r="Z12">
        <f t="shared" si="0"/>
        <v>214</v>
      </c>
    </row>
    <row r="13" spans="5:26" ht="45" customHeight="1" x14ac:dyDescent="0.25">
      <c r="E13" s="41">
        <v>5</v>
      </c>
      <c r="F13" s="41"/>
      <c r="G13" s="41">
        <v>6</v>
      </c>
      <c r="H13" s="41"/>
      <c r="I13" s="41"/>
      <c r="O13" s="44">
        <v>6</v>
      </c>
      <c r="P13">
        <v>0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0</v>
      </c>
      <c r="Y13" s="44">
        <v>6</v>
      </c>
      <c r="Z13">
        <f t="shared" si="0"/>
        <v>94</v>
      </c>
    </row>
    <row r="14" spans="5:26" ht="45" customHeight="1" x14ac:dyDescent="0.25">
      <c r="E14" s="41"/>
      <c r="F14" s="41">
        <v>7</v>
      </c>
      <c r="G14" s="41"/>
      <c r="H14" s="41"/>
      <c r="I14" s="41">
        <v>8</v>
      </c>
      <c r="O14" s="44">
        <v>7</v>
      </c>
      <c r="P14">
        <v>1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0</v>
      </c>
      <c r="Y14" s="44">
        <v>7</v>
      </c>
      <c r="Z14">
        <f t="shared" si="0"/>
        <v>164</v>
      </c>
    </row>
    <row r="15" spans="5:26" ht="45" customHeight="1" x14ac:dyDescent="0.25">
      <c r="O15" s="44">
        <v>8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Y15" s="44">
        <v>8</v>
      </c>
      <c r="Z15">
        <f t="shared" si="0"/>
        <v>254</v>
      </c>
    </row>
    <row r="16" spans="5:26" ht="45" customHeight="1" x14ac:dyDescent="0.25">
      <c r="O16" s="45">
        <v>9</v>
      </c>
      <c r="P16">
        <v>1</v>
      </c>
      <c r="Q16">
        <v>1</v>
      </c>
      <c r="R16">
        <v>1</v>
      </c>
      <c r="S16">
        <v>1</v>
      </c>
      <c r="T16">
        <v>0</v>
      </c>
      <c r="U16">
        <v>1</v>
      </c>
      <c r="V16">
        <v>0</v>
      </c>
      <c r="W16">
        <v>0</v>
      </c>
      <c r="Y16" s="45">
        <v>9</v>
      </c>
      <c r="Z16">
        <f t="shared" si="0"/>
        <v>244</v>
      </c>
    </row>
    <row r="29" spans="12:13" ht="45" customHeight="1" x14ac:dyDescent="0.25">
      <c r="M29">
        <v>1001</v>
      </c>
    </row>
    <row r="30" spans="12:13" ht="45" customHeight="1" x14ac:dyDescent="0.25">
      <c r="L30">
        <v>10</v>
      </c>
      <c r="M30" s="57" t="s">
        <v>255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82A92-DC07-4567-B21F-3F60D10DBF3A}">
  <dimension ref="E3:Z30"/>
  <sheetViews>
    <sheetView zoomScale="70" zoomScaleNormal="70" workbookViewId="0">
      <selection activeCell="Z7" sqref="Z7"/>
    </sheetView>
  </sheetViews>
  <sheetFormatPr defaultColWidth="8.5703125" defaultRowHeight="45" customHeight="1" x14ac:dyDescent="0.25"/>
  <sheetData>
    <row r="3" spans="5:26" ht="45" customHeight="1" x14ac:dyDescent="0.25">
      <c r="E3" s="41"/>
      <c r="F3" s="41">
        <v>6</v>
      </c>
      <c r="G3" s="41"/>
      <c r="H3" s="1"/>
    </row>
    <row r="4" spans="5:26" ht="45" customHeight="1" x14ac:dyDescent="0.25">
      <c r="E4" s="41">
        <v>4</v>
      </c>
      <c r="F4" s="41"/>
      <c r="G4" s="41">
        <v>8</v>
      </c>
      <c r="H4" s="1"/>
      <c r="P4" t="s">
        <v>266</v>
      </c>
      <c r="W4" t="s">
        <v>267</v>
      </c>
    </row>
    <row r="5" spans="5:26" ht="45" customHeight="1" x14ac:dyDescent="0.25">
      <c r="E5" s="41"/>
      <c r="F5" s="41">
        <v>2</v>
      </c>
      <c r="G5" s="41"/>
      <c r="H5" s="1"/>
    </row>
    <row r="6" spans="5:26" ht="45" customHeight="1" x14ac:dyDescent="0.25">
      <c r="E6" s="41">
        <v>1</v>
      </c>
      <c r="F6" s="41"/>
      <c r="G6" s="41">
        <v>5</v>
      </c>
      <c r="H6" s="1"/>
      <c r="O6" s="42" t="s">
        <v>251</v>
      </c>
      <c r="P6" s="43">
        <v>1</v>
      </c>
      <c r="Q6" s="43">
        <v>2</v>
      </c>
      <c r="R6" s="43">
        <v>3</v>
      </c>
      <c r="S6" s="43">
        <v>4</v>
      </c>
      <c r="T6" s="43">
        <v>5</v>
      </c>
      <c r="U6" s="43">
        <v>6</v>
      </c>
      <c r="V6" s="43">
        <v>7</v>
      </c>
      <c r="W6" s="45">
        <v>8</v>
      </c>
      <c r="Z6" t="s">
        <v>252</v>
      </c>
    </row>
    <row r="7" spans="5:26" ht="45" customHeight="1" x14ac:dyDescent="0.25">
      <c r="E7" s="41"/>
      <c r="F7" s="41">
        <v>3</v>
      </c>
      <c r="G7" s="41"/>
      <c r="H7" s="88"/>
      <c r="O7" s="44">
        <v>0</v>
      </c>
      <c r="P7">
        <v>1</v>
      </c>
      <c r="Q7">
        <v>0</v>
      </c>
      <c r="R7">
        <v>1</v>
      </c>
      <c r="S7">
        <v>1</v>
      </c>
      <c r="T7">
        <v>1</v>
      </c>
      <c r="U7">
        <v>1</v>
      </c>
      <c r="V7">
        <v>0</v>
      </c>
      <c r="W7">
        <v>1</v>
      </c>
      <c r="Y7" s="44">
        <v>0</v>
      </c>
      <c r="Z7">
        <f>W7*1+V7*2+U7*4+T7*8+S7*16+R7*32+Q7*64+P7*128</f>
        <v>189</v>
      </c>
    </row>
    <row r="8" spans="5:26" ht="45" customHeight="1" x14ac:dyDescent="0.25">
      <c r="E8" s="41"/>
      <c r="G8" s="41"/>
      <c r="H8" s="1">
        <v>7</v>
      </c>
      <c r="O8" s="44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Y8" s="44">
        <v>1</v>
      </c>
      <c r="Z8">
        <f>W8*1+V8*2+U8*4+T8*8+S8*16+R8*32+Q8*64+P8*128</f>
        <v>9</v>
      </c>
    </row>
    <row r="9" spans="5:26" ht="45" customHeight="1" x14ac:dyDescent="0.25">
      <c r="O9" s="44">
        <v>2</v>
      </c>
      <c r="P9">
        <v>1</v>
      </c>
      <c r="Q9">
        <v>1</v>
      </c>
      <c r="R9">
        <v>1</v>
      </c>
      <c r="S9">
        <v>0</v>
      </c>
      <c r="T9">
        <v>0</v>
      </c>
      <c r="U9">
        <v>1</v>
      </c>
      <c r="V9">
        <v>0</v>
      </c>
      <c r="W9">
        <v>1</v>
      </c>
      <c r="Y9" s="44">
        <v>2</v>
      </c>
      <c r="Z9">
        <f t="shared" ref="Z9:Z16" si="0">W9*1+V9*2+U9*4+T9*8+S9*16+R9*32+Q9*64+P9*128</f>
        <v>229</v>
      </c>
    </row>
    <row r="10" spans="5:26" ht="45" customHeight="1" x14ac:dyDescent="0.25">
      <c r="E10" s="41"/>
      <c r="F10" s="41"/>
      <c r="G10" s="41"/>
      <c r="H10" s="41"/>
      <c r="I10" s="41"/>
      <c r="O10" s="44">
        <v>3</v>
      </c>
      <c r="P10">
        <v>0</v>
      </c>
      <c r="Q10">
        <v>1</v>
      </c>
      <c r="R10">
        <v>1</v>
      </c>
      <c r="S10">
        <v>0</v>
      </c>
      <c r="T10">
        <v>1</v>
      </c>
      <c r="U10">
        <v>1</v>
      </c>
      <c r="V10">
        <v>0</v>
      </c>
      <c r="W10">
        <v>1</v>
      </c>
      <c r="Y10" s="44">
        <v>3</v>
      </c>
      <c r="Z10">
        <f t="shared" si="0"/>
        <v>109</v>
      </c>
    </row>
    <row r="11" spans="5:26" ht="45" customHeight="1" x14ac:dyDescent="0.25">
      <c r="E11" s="41"/>
      <c r="F11" s="41"/>
      <c r="G11" s="41"/>
      <c r="H11" s="41"/>
      <c r="I11" s="41"/>
      <c r="O11" s="44">
        <v>4</v>
      </c>
      <c r="P11">
        <v>0</v>
      </c>
      <c r="Q11">
        <v>1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Y11" s="44">
        <v>4</v>
      </c>
      <c r="Z11">
        <f>W11*1+V11*2+U11*4+T11*8+S11*16+R11*32+Q11*64+P11*128</f>
        <v>89</v>
      </c>
    </row>
    <row r="12" spans="5:26" ht="45" customHeight="1" x14ac:dyDescent="0.25">
      <c r="E12" s="41"/>
      <c r="F12" s="41"/>
      <c r="G12" s="41"/>
      <c r="H12" s="41"/>
      <c r="I12" s="41"/>
      <c r="O12" s="44">
        <v>5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0</v>
      </c>
      <c r="Y12" s="44">
        <v>5</v>
      </c>
      <c r="Z12">
        <f>W12*1+V12*2+U12*4+T12*8+S12*16+R12*32+Q12*64+P12*128</f>
        <v>124</v>
      </c>
    </row>
    <row r="13" spans="5:26" ht="45" customHeight="1" x14ac:dyDescent="0.25">
      <c r="E13" s="41"/>
      <c r="F13" s="41"/>
      <c r="G13" s="41"/>
      <c r="H13" s="41"/>
      <c r="I13" s="41"/>
      <c r="O13" s="44">
        <v>6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Y13" s="44">
        <v>6</v>
      </c>
      <c r="Z13">
        <f t="shared" si="0"/>
        <v>252</v>
      </c>
    </row>
    <row r="14" spans="5:26" ht="45" customHeight="1" x14ac:dyDescent="0.25">
      <c r="E14" s="41"/>
      <c r="F14" s="41"/>
      <c r="G14" s="41"/>
      <c r="H14" s="41"/>
      <c r="I14" s="41"/>
      <c r="O14" s="44">
        <v>7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1</v>
      </c>
      <c r="Y14" s="44">
        <v>7</v>
      </c>
      <c r="Z14">
        <f t="shared" si="0"/>
        <v>13</v>
      </c>
    </row>
    <row r="15" spans="5:26" ht="45" customHeight="1" x14ac:dyDescent="0.25">
      <c r="O15" s="44">
        <v>8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Y15" s="44">
        <v>8</v>
      </c>
      <c r="Z15">
        <f t="shared" si="0"/>
        <v>253</v>
      </c>
    </row>
    <row r="16" spans="5:26" ht="45" customHeight="1" x14ac:dyDescent="0.25">
      <c r="O16" s="45">
        <v>9</v>
      </c>
      <c r="P16">
        <v>0</v>
      </c>
      <c r="Q16">
        <v>1</v>
      </c>
      <c r="R16">
        <v>0</v>
      </c>
      <c r="S16">
        <v>1</v>
      </c>
      <c r="T16">
        <v>1</v>
      </c>
      <c r="U16">
        <v>1</v>
      </c>
      <c r="V16">
        <v>0</v>
      </c>
      <c r="W16">
        <v>1</v>
      </c>
      <c r="Y16" s="45">
        <v>9</v>
      </c>
      <c r="Z16">
        <f t="shared" si="0"/>
        <v>93</v>
      </c>
    </row>
    <row r="29" spans="12:13" ht="45" customHeight="1" x14ac:dyDescent="0.25">
      <c r="M29">
        <v>1001</v>
      </c>
    </row>
    <row r="30" spans="12:13" ht="45" customHeight="1" x14ac:dyDescent="0.25">
      <c r="L30">
        <v>10</v>
      </c>
      <c r="M30" s="57" t="s">
        <v>255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E0F2-34CB-4E97-B9C5-6C56F7E327A9}">
  <dimension ref="B1:V62"/>
  <sheetViews>
    <sheetView workbookViewId="0">
      <selection activeCell="E28" sqref="B1:M62"/>
    </sheetView>
  </sheetViews>
  <sheetFormatPr defaultRowHeight="15" x14ac:dyDescent="0.25"/>
  <cols>
    <col min="2" max="2" width="5.140625" bestFit="1" customWidth="1"/>
    <col min="3" max="3" width="5.140625" customWidth="1"/>
    <col min="4" max="4" width="32.140625" bestFit="1" customWidth="1"/>
    <col min="6" max="6" width="3.42578125" bestFit="1" customWidth="1"/>
    <col min="7" max="7" width="4.140625" bestFit="1" customWidth="1"/>
    <col min="8" max="8" width="5" style="89" customWidth="1"/>
    <col min="9" max="12" width="3.42578125" bestFit="1" customWidth="1"/>
    <col min="20" max="20" width="0" hidden="1" customWidth="1"/>
  </cols>
  <sheetData>
    <row r="1" spans="2:22" x14ac:dyDescent="0.25">
      <c r="F1" s="43"/>
      <c r="G1" s="43"/>
      <c r="H1" s="43"/>
      <c r="M1" s="45"/>
    </row>
    <row r="2" spans="2:22" x14ac:dyDescent="0.25">
      <c r="B2" s="88"/>
      <c r="C2" s="88"/>
      <c r="D2" s="88"/>
      <c r="F2" s="88"/>
      <c r="G2" s="88"/>
      <c r="H2" s="88"/>
      <c r="I2" s="88"/>
      <c r="J2" s="88"/>
      <c r="K2" s="88"/>
      <c r="L2" s="88"/>
    </row>
    <row r="3" spans="2:22" x14ac:dyDescent="0.25">
      <c r="B3" s="89"/>
      <c r="C3" s="89"/>
      <c r="D3" s="89"/>
      <c r="F3" s="89"/>
      <c r="G3" s="89"/>
      <c r="I3" s="89"/>
      <c r="J3" s="89"/>
      <c r="K3" s="89"/>
      <c r="L3" s="89"/>
      <c r="P3">
        <f>M3*1+L3*2+K3*4+J3*8+I3*16+H3*32+G3*64+F3*128</f>
        <v>0</v>
      </c>
      <c r="T3" s="57" t="s">
        <v>284</v>
      </c>
      <c r="U3" t="str">
        <f>MID(T3,4,1) &amp; MID(T3,3,1) &amp; MID(T3,2,1) &amp; MID(T3,1,1)</f>
        <v>1100</v>
      </c>
      <c r="V3" t="str">
        <f>LEFT(T3,)</f>
        <v/>
      </c>
    </row>
    <row r="4" spans="2:22" x14ac:dyDescent="0.25">
      <c r="B4" s="89"/>
      <c r="C4" s="89"/>
      <c r="D4" s="89"/>
      <c r="F4" s="89"/>
      <c r="G4" s="89"/>
      <c r="I4" s="89"/>
      <c r="J4" s="89"/>
      <c r="K4" s="89"/>
      <c r="L4" s="89"/>
      <c r="P4">
        <f t="shared" ref="P4:P37" si="0">M4*1+L4*2+K4*4+J4*8+I4*16+H4*32+G4*64+F4*128</f>
        <v>0</v>
      </c>
      <c r="T4" s="57" t="s">
        <v>284</v>
      </c>
      <c r="U4" t="str">
        <f t="shared" ref="U4:U32" si="1">MID(T4,4,1) &amp; MID(T4,3,1) &amp; MID(T4,2,1) &amp; MID(T4,1,1)</f>
        <v>1100</v>
      </c>
    </row>
    <row r="5" spans="2:22" x14ac:dyDescent="0.25">
      <c r="B5" s="89"/>
      <c r="C5" s="89"/>
      <c r="D5" s="89"/>
      <c r="F5" s="89"/>
      <c r="G5" s="89"/>
      <c r="I5" s="89"/>
      <c r="J5" s="89"/>
      <c r="K5" s="89"/>
      <c r="L5" s="89"/>
      <c r="P5">
        <f t="shared" si="0"/>
        <v>0</v>
      </c>
      <c r="T5" s="57" t="s">
        <v>284</v>
      </c>
      <c r="U5" t="str">
        <f t="shared" si="1"/>
        <v>1100</v>
      </c>
    </row>
    <row r="6" spans="2:22" x14ac:dyDescent="0.25">
      <c r="B6" s="89"/>
      <c r="C6" s="89"/>
      <c r="D6" s="89"/>
      <c r="F6" s="89"/>
      <c r="G6" s="89"/>
      <c r="I6" s="89"/>
      <c r="J6" s="89"/>
      <c r="K6" s="89"/>
      <c r="L6" s="89"/>
      <c r="P6">
        <f t="shared" si="0"/>
        <v>0</v>
      </c>
      <c r="T6" s="57" t="s">
        <v>285</v>
      </c>
      <c r="U6" t="str">
        <f t="shared" si="1"/>
        <v>0100</v>
      </c>
    </row>
    <row r="7" spans="2:22" x14ac:dyDescent="0.25">
      <c r="B7" s="89"/>
      <c r="C7" s="89"/>
      <c r="D7" s="89"/>
      <c r="F7" s="89"/>
      <c r="G7" s="89"/>
      <c r="I7" s="89"/>
      <c r="J7" s="89"/>
      <c r="K7" s="89"/>
      <c r="L7" s="89"/>
      <c r="P7">
        <f t="shared" si="0"/>
        <v>0</v>
      </c>
      <c r="T7" s="57" t="s">
        <v>285</v>
      </c>
      <c r="U7" t="str">
        <f t="shared" si="1"/>
        <v>0100</v>
      </c>
    </row>
    <row r="8" spans="2:22" x14ac:dyDescent="0.25">
      <c r="B8" s="89"/>
      <c r="C8" s="89"/>
      <c r="D8" s="89"/>
      <c r="F8" s="89"/>
      <c r="G8" s="89"/>
      <c r="I8" s="89"/>
      <c r="J8" s="89"/>
      <c r="K8" s="89"/>
      <c r="L8" s="89"/>
      <c r="P8">
        <f t="shared" si="0"/>
        <v>0</v>
      </c>
      <c r="T8">
        <v>1000</v>
      </c>
      <c r="U8" t="str">
        <f t="shared" si="1"/>
        <v>0001</v>
      </c>
    </row>
    <row r="9" spans="2:22" x14ac:dyDescent="0.25">
      <c r="B9" s="89"/>
      <c r="C9" s="89"/>
      <c r="D9" s="89"/>
      <c r="F9" s="89"/>
      <c r="G9" s="89"/>
      <c r="I9" s="89"/>
      <c r="J9" s="89"/>
      <c r="K9" s="89"/>
      <c r="L9" s="89"/>
      <c r="P9">
        <f t="shared" si="0"/>
        <v>0</v>
      </c>
      <c r="T9" s="57" t="s">
        <v>255</v>
      </c>
      <c r="U9" t="str">
        <f t="shared" si="1"/>
        <v>0000</v>
      </c>
    </row>
    <row r="10" spans="2:22" x14ac:dyDescent="0.25">
      <c r="B10" s="89"/>
      <c r="C10" s="89"/>
      <c r="D10" s="89"/>
      <c r="F10" s="89"/>
      <c r="G10" s="89"/>
      <c r="I10" s="89"/>
      <c r="J10" s="89"/>
      <c r="K10" s="89"/>
      <c r="L10" s="89"/>
      <c r="P10">
        <f t="shared" si="0"/>
        <v>0</v>
      </c>
      <c r="T10">
        <v>1000</v>
      </c>
      <c r="U10" t="str">
        <f t="shared" si="1"/>
        <v>0001</v>
      </c>
    </row>
    <row r="11" spans="2:22" x14ac:dyDescent="0.25">
      <c r="B11" s="89"/>
      <c r="C11" s="89"/>
      <c r="D11" s="89"/>
      <c r="F11" s="89"/>
      <c r="G11" s="89"/>
      <c r="I11" s="89"/>
      <c r="J11" s="89"/>
      <c r="K11" s="89"/>
      <c r="L11" s="89"/>
      <c r="P11">
        <f t="shared" si="0"/>
        <v>0</v>
      </c>
      <c r="T11" s="57" t="s">
        <v>255</v>
      </c>
      <c r="U11" t="str">
        <f t="shared" si="1"/>
        <v>0000</v>
      </c>
    </row>
    <row r="12" spans="2:22" x14ac:dyDescent="0.25">
      <c r="B12" s="89"/>
      <c r="C12" s="89"/>
      <c r="D12" s="89"/>
      <c r="F12" s="89"/>
      <c r="G12" s="89"/>
      <c r="I12" s="89"/>
      <c r="J12" s="89"/>
      <c r="K12" s="89"/>
      <c r="L12" s="89"/>
      <c r="P12">
        <f t="shared" si="0"/>
        <v>0</v>
      </c>
      <c r="T12" s="57" t="s">
        <v>286</v>
      </c>
      <c r="U12" t="str">
        <f t="shared" si="1"/>
        <v>1000</v>
      </c>
    </row>
    <row r="13" spans="2:22" x14ac:dyDescent="0.25">
      <c r="B13" s="89"/>
      <c r="C13" s="89"/>
      <c r="D13" s="89"/>
      <c r="F13" s="89"/>
      <c r="G13" s="89"/>
      <c r="I13" s="89"/>
      <c r="J13" s="89"/>
      <c r="K13" s="89"/>
      <c r="L13" s="89"/>
      <c r="P13">
        <f t="shared" si="0"/>
        <v>0</v>
      </c>
      <c r="T13" s="57" t="s">
        <v>255</v>
      </c>
      <c r="U13" t="str">
        <f t="shared" si="1"/>
        <v>0000</v>
      </c>
    </row>
    <row r="14" spans="2:22" x14ac:dyDescent="0.25">
      <c r="B14" s="89"/>
      <c r="C14" s="89"/>
      <c r="D14" s="89"/>
      <c r="F14" s="89"/>
      <c r="G14" s="89"/>
      <c r="I14" s="89"/>
      <c r="J14" s="89"/>
      <c r="K14" s="89"/>
      <c r="L14" s="89"/>
      <c r="P14">
        <f t="shared" si="0"/>
        <v>0</v>
      </c>
      <c r="T14" s="57" t="s">
        <v>287</v>
      </c>
      <c r="U14" t="str">
        <f t="shared" si="1"/>
        <v>0110</v>
      </c>
    </row>
    <row r="15" spans="2:22" x14ac:dyDescent="0.25">
      <c r="B15" s="89"/>
      <c r="C15" s="89"/>
      <c r="D15" s="89"/>
      <c r="F15" s="89"/>
      <c r="G15" s="89"/>
      <c r="I15" s="89"/>
      <c r="J15" s="89"/>
      <c r="K15" s="89"/>
      <c r="L15" s="89"/>
      <c r="P15">
        <f t="shared" si="0"/>
        <v>0</v>
      </c>
      <c r="T15" s="57" t="s">
        <v>255</v>
      </c>
      <c r="U15" t="str">
        <f t="shared" si="1"/>
        <v>0000</v>
      </c>
    </row>
    <row r="16" spans="2:22" x14ac:dyDescent="0.25">
      <c r="B16" s="89"/>
      <c r="C16" s="89"/>
      <c r="D16" s="89"/>
      <c r="F16" s="89"/>
      <c r="G16" s="89"/>
      <c r="I16" s="89"/>
      <c r="J16" s="89"/>
      <c r="K16" s="89"/>
      <c r="L16" s="89"/>
      <c r="P16">
        <f t="shared" si="0"/>
        <v>0</v>
      </c>
      <c r="T16">
        <v>1100</v>
      </c>
      <c r="U16" t="str">
        <f t="shared" si="1"/>
        <v>0011</v>
      </c>
    </row>
    <row r="17" spans="2:21" x14ac:dyDescent="0.25">
      <c r="B17" s="89"/>
      <c r="C17" s="89"/>
      <c r="D17" s="89"/>
      <c r="F17" s="89"/>
      <c r="G17" s="89"/>
      <c r="I17" s="89"/>
      <c r="J17" s="89"/>
      <c r="K17" s="89"/>
      <c r="L17" s="89"/>
      <c r="P17">
        <f t="shared" si="0"/>
        <v>0</v>
      </c>
      <c r="T17">
        <v>1000</v>
      </c>
      <c r="U17" t="str">
        <f t="shared" si="1"/>
        <v>0001</v>
      </c>
    </row>
    <row r="18" spans="2:21" x14ac:dyDescent="0.25">
      <c r="B18" s="89"/>
      <c r="C18" s="89"/>
      <c r="D18" s="89"/>
      <c r="F18" s="89"/>
      <c r="G18" s="89"/>
      <c r="I18" s="89"/>
      <c r="J18" s="89"/>
      <c r="K18" s="89"/>
      <c r="L18" s="89"/>
      <c r="P18">
        <f t="shared" si="0"/>
        <v>0</v>
      </c>
      <c r="T18" s="57" t="s">
        <v>255</v>
      </c>
      <c r="U18" t="str">
        <f t="shared" si="1"/>
        <v>0000</v>
      </c>
    </row>
    <row r="19" spans="2:21" x14ac:dyDescent="0.25">
      <c r="B19" s="89"/>
      <c r="C19" s="89"/>
      <c r="D19" s="89"/>
      <c r="F19" s="89"/>
      <c r="G19" s="89"/>
      <c r="I19" s="89"/>
      <c r="J19" s="89"/>
      <c r="K19" s="89"/>
      <c r="L19" s="89"/>
      <c r="P19">
        <f t="shared" si="0"/>
        <v>0</v>
      </c>
      <c r="T19" s="57" t="s">
        <v>288</v>
      </c>
      <c r="U19" t="str">
        <f t="shared" si="1"/>
        <v>0010</v>
      </c>
    </row>
    <row r="20" spans="2:21" x14ac:dyDescent="0.25">
      <c r="B20" s="89"/>
      <c r="C20" s="89"/>
      <c r="D20" s="89"/>
      <c r="F20" s="89"/>
      <c r="G20" s="89"/>
      <c r="I20" s="89"/>
      <c r="J20" s="89"/>
      <c r="K20" s="89"/>
      <c r="L20" s="89"/>
      <c r="P20">
        <f t="shared" si="0"/>
        <v>0</v>
      </c>
      <c r="T20" s="57" t="s">
        <v>289</v>
      </c>
      <c r="U20" t="str">
        <f t="shared" si="1"/>
        <v>1010</v>
      </c>
    </row>
    <row r="21" spans="2:21" x14ac:dyDescent="0.25">
      <c r="B21" s="89"/>
      <c r="C21" s="89"/>
      <c r="D21" s="89"/>
      <c r="F21" s="89"/>
      <c r="G21" s="89"/>
      <c r="I21" s="89"/>
      <c r="J21" s="89"/>
      <c r="K21" s="89"/>
      <c r="L21" s="89"/>
      <c r="P21">
        <f t="shared" si="0"/>
        <v>0</v>
      </c>
      <c r="T21" s="57" t="s">
        <v>288</v>
      </c>
      <c r="U21" t="str">
        <f t="shared" si="1"/>
        <v>0010</v>
      </c>
    </row>
    <row r="22" spans="2:21" x14ac:dyDescent="0.25">
      <c r="B22" s="89"/>
      <c r="C22" s="89"/>
      <c r="D22" s="89"/>
      <c r="F22" s="89"/>
      <c r="G22" s="89"/>
      <c r="I22" s="89"/>
      <c r="J22" s="89"/>
      <c r="K22" s="89"/>
      <c r="L22" s="89"/>
      <c r="P22">
        <f t="shared" si="0"/>
        <v>0</v>
      </c>
      <c r="T22" s="57" t="s">
        <v>284</v>
      </c>
      <c r="U22" t="str">
        <f t="shared" si="1"/>
        <v>1100</v>
      </c>
    </row>
    <row r="23" spans="2:21" x14ac:dyDescent="0.25">
      <c r="B23" s="89"/>
      <c r="C23" s="89"/>
      <c r="D23" s="89"/>
      <c r="F23" s="89"/>
      <c r="G23" s="89"/>
      <c r="I23" s="89"/>
      <c r="J23" s="89"/>
      <c r="K23" s="89"/>
      <c r="L23" s="89"/>
      <c r="P23">
        <f t="shared" si="0"/>
        <v>0</v>
      </c>
      <c r="T23" s="57" t="s">
        <v>288</v>
      </c>
      <c r="U23" t="str">
        <f t="shared" si="1"/>
        <v>0010</v>
      </c>
    </row>
    <row r="24" spans="2:21" x14ac:dyDescent="0.25">
      <c r="B24" s="89"/>
      <c r="C24" s="89"/>
      <c r="D24" s="89"/>
      <c r="F24" s="89"/>
      <c r="G24" s="89"/>
      <c r="I24" s="89"/>
      <c r="J24" s="89"/>
      <c r="K24" s="89"/>
      <c r="L24" s="89"/>
      <c r="P24">
        <f t="shared" si="0"/>
        <v>0</v>
      </c>
      <c r="T24" s="57" t="s">
        <v>287</v>
      </c>
      <c r="U24" t="str">
        <f t="shared" si="1"/>
        <v>0110</v>
      </c>
    </row>
    <row r="25" spans="2:21" x14ac:dyDescent="0.25">
      <c r="B25" s="89"/>
      <c r="C25" s="89"/>
      <c r="D25" s="89"/>
      <c r="F25" s="89"/>
      <c r="G25" s="89"/>
      <c r="I25" s="89"/>
      <c r="J25" s="89"/>
      <c r="K25" s="89"/>
      <c r="L25" s="89"/>
      <c r="P25">
        <f t="shared" si="0"/>
        <v>0</v>
      </c>
      <c r="T25" s="57" t="s">
        <v>284</v>
      </c>
      <c r="U25" t="str">
        <f t="shared" si="1"/>
        <v>1100</v>
      </c>
    </row>
    <row r="26" spans="2:21" x14ac:dyDescent="0.25">
      <c r="B26" s="89"/>
      <c r="C26" s="89"/>
      <c r="D26" s="89"/>
      <c r="F26" s="89"/>
      <c r="G26" s="89"/>
      <c r="I26" s="89"/>
      <c r="J26" s="89"/>
      <c r="K26" s="89"/>
      <c r="L26" s="89"/>
      <c r="P26">
        <f t="shared" si="0"/>
        <v>0</v>
      </c>
      <c r="T26">
        <v>1000</v>
      </c>
      <c r="U26" t="str">
        <f t="shared" si="1"/>
        <v>0001</v>
      </c>
    </row>
    <row r="27" spans="2:21" x14ac:dyDescent="0.25">
      <c r="B27" s="89"/>
      <c r="C27" s="89"/>
      <c r="D27" s="89"/>
      <c r="F27" s="89"/>
      <c r="G27" s="89"/>
      <c r="I27" s="89"/>
      <c r="J27" s="89"/>
      <c r="K27" s="89"/>
      <c r="L27" s="89"/>
      <c r="P27">
        <f t="shared" si="0"/>
        <v>0</v>
      </c>
      <c r="T27" s="57" t="s">
        <v>288</v>
      </c>
      <c r="U27" t="str">
        <f t="shared" si="1"/>
        <v>0010</v>
      </c>
    </row>
    <row r="28" spans="2:21" x14ac:dyDescent="0.25">
      <c r="B28" s="89"/>
      <c r="C28" s="89"/>
      <c r="D28" s="89"/>
      <c r="F28" s="89"/>
      <c r="G28" s="89"/>
      <c r="I28" s="89"/>
      <c r="J28" s="89"/>
      <c r="K28" s="89"/>
      <c r="L28" s="89"/>
      <c r="P28">
        <f t="shared" si="0"/>
        <v>0</v>
      </c>
      <c r="T28" s="57" t="s">
        <v>287</v>
      </c>
      <c r="U28" t="str">
        <f t="shared" si="1"/>
        <v>0110</v>
      </c>
    </row>
    <row r="29" spans="2:21" x14ac:dyDescent="0.25">
      <c r="B29" s="89"/>
      <c r="C29" s="89"/>
      <c r="D29" s="89"/>
      <c r="F29" s="89"/>
      <c r="G29" s="89"/>
      <c r="I29" s="89"/>
      <c r="J29" s="89"/>
      <c r="K29" s="89"/>
      <c r="L29" s="89"/>
      <c r="P29">
        <f t="shared" si="0"/>
        <v>0</v>
      </c>
      <c r="T29" s="57" t="s">
        <v>284</v>
      </c>
      <c r="U29" t="str">
        <f t="shared" si="1"/>
        <v>1100</v>
      </c>
    </row>
    <row r="30" spans="2:21" x14ac:dyDescent="0.25">
      <c r="B30" s="89"/>
      <c r="C30" s="89"/>
      <c r="D30" s="89"/>
      <c r="F30" s="89"/>
      <c r="G30" s="89"/>
      <c r="I30" s="89"/>
      <c r="J30" s="89"/>
      <c r="K30" s="89"/>
      <c r="L30" s="89"/>
      <c r="P30">
        <f t="shared" si="0"/>
        <v>0</v>
      </c>
      <c r="T30" s="57" t="s">
        <v>285</v>
      </c>
      <c r="U30" t="str">
        <f t="shared" si="1"/>
        <v>0100</v>
      </c>
    </row>
    <row r="31" spans="2:21" x14ac:dyDescent="0.25">
      <c r="B31" s="89"/>
      <c r="C31" s="89"/>
      <c r="D31" s="89"/>
      <c r="F31" s="89"/>
      <c r="G31" s="89"/>
      <c r="I31" s="89"/>
      <c r="J31" s="89"/>
      <c r="K31" s="89"/>
      <c r="L31" s="89"/>
      <c r="P31">
        <f t="shared" si="0"/>
        <v>0</v>
      </c>
      <c r="T31" s="57" t="s">
        <v>284</v>
      </c>
      <c r="U31" t="str">
        <f t="shared" si="1"/>
        <v>1100</v>
      </c>
    </row>
    <row r="32" spans="2:21" x14ac:dyDescent="0.25">
      <c r="B32" s="89"/>
      <c r="C32" s="89"/>
      <c r="D32" s="89"/>
      <c r="F32" s="89"/>
      <c r="G32" s="89"/>
      <c r="I32" s="89"/>
      <c r="J32" s="89"/>
      <c r="K32" s="89"/>
      <c r="L32" s="89"/>
      <c r="P32">
        <f t="shared" si="0"/>
        <v>0</v>
      </c>
      <c r="T32" s="57" t="s">
        <v>288</v>
      </c>
      <c r="U32" t="str">
        <f t="shared" si="1"/>
        <v>0010</v>
      </c>
    </row>
    <row r="33" spans="2:17" x14ac:dyDescent="0.25">
      <c r="B33" s="89"/>
      <c r="C33" s="89"/>
      <c r="D33" s="89"/>
      <c r="F33" s="89"/>
      <c r="G33" s="89"/>
      <c r="I33" s="89"/>
      <c r="J33" s="89"/>
      <c r="K33" s="89"/>
      <c r="L33" s="89"/>
      <c r="P33">
        <f t="shared" si="0"/>
        <v>0</v>
      </c>
    </row>
    <row r="34" spans="2:17" x14ac:dyDescent="0.25">
      <c r="B34" s="89"/>
      <c r="C34" s="89"/>
      <c r="D34" s="89"/>
      <c r="F34" s="89"/>
      <c r="G34" s="89"/>
      <c r="I34" s="89"/>
      <c r="J34" s="89"/>
      <c r="K34" s="89"/>
      <c r="L34" s="89"/>
      <c r="P34">
        <f t="shared" si="0"/>
        <v>0</v>
      </c>
    </row>
    <row r="35" spans="2:17" x14ac:dyDescent="0.25">
      <c r="B35" s="89"/>
      <c r="C35" s="89"/>
      <c r="D35" s="89"/>
      <c r="F35" s="89"/>
      <c r="G35" s="89"/>
      <c r="I35" s="89"/>
      <c r="J35" s="89"/>
      <c r="K35" s="89"/>
      <c r="L35" s="89"/>
      <c r="P35">
        <f t="shared" si="0"/>
        <v>0</v>
      </c>
      <c r="Q35" s="53"/>
    </row>
    <row r="36" spans="2:17" x14ac:dyDescent="0.25">
      <c r="B36" s="89"/>
      <c r="C36" s="89"/>
      <c r="D36" s="89"/>
      <c r="F36" s="89"/>
      <c r="G36" s="89"/>
      <c r="I36" s="89"/>
      <c r="J36" s="89"/>
      <c r="K36" s="89"/>
      <c r="L36" s="89"/>
      <c r="P36">
        <f t="shared" si="0"/>
        <v>0</v>
      </c>
    </row>
    <row r="37" spans="2:17" x14ac:dyDescent="0.25">
      <c r="B37" s="89"/>
      <c r="C37" s="89"/>
      <c r="D37" s="89"/>
      <c r="F37" s="89"/>
      <c r="G37" s="89"/>
      <c r="I37" s="89"/>
      <c r="J37" s="89"/>
      <c r="K37" s="89"/>
      <c r="L37" s="89"/>
      <c r="P37">
        <f t="shared" si="0"/>
        <v>0</v>
      </c>
    </row>
    <row r="38" spans="2:17" x14ac:dyDescent="0.25">
      <c r="B38" s="89"/>
      <c r="C38" s="89"/>
      <c r="D38" s="89"/>
      <c r="F38" s="89"/>
      <c r="G38" s="89"/>
      <c r="I38" s="89"/>
      <c r="J38" s="89"/>
      <c r="K38" s="89"/>
      <c r="L38" s="89"/>
      <c r="P38">
        <f t="shared" ref="P38:P62" si="2">M38*1+L38*2+K38*4+J38*8+I38*16+H38*32+G38*64+F38*128</f>
        <v>0</v>
      </c>
    </row>
    <row r="39" spans="2:17" x14ac:dyDescent="0.25">
      <c r="B39" s="89"/>
      <c r="C39" s="89"/>
      <c r="D39" s="89"/>
      <c r="F39" s="89"/>
      <c r="G39" s="89"/>
      <c r="I39" s="89"/>
      <c r="J39" s="89"/>
      <c r="K39" s="89"/>
      <c r="L39" s="89"/>
      <c r="P39">
        <f t="shared" si="2"/>
        <v>0</v>
      </c>
    </row>
    <row r="40" spans="2:17" x14ac:dyDescent="0.25">
      <c r="B40" s="89"/>
      <c r="C40" s="89"/>
      <c r="D40" s="89"/>
      <c r="F40" s="89"/>
      <c r="G40" s="89"/>
      <c r="I40" s="89"/>
      <c r="J40" s="89"/>
      <c r="K40" s="89"/>
      <c r="L40" s="89"/>
      <c r="P40">
        <f t="shared" si="2"/>
        <v>0</v>
      </c>
    </row>
    <row r="41" spans="2:17" x14ac:dyDescent="0.25">
      <c r="B41" s="89"/>
      <c r="C41" s="89"/>
      <c r="D41" s="89"/>
      <c r="F41" s="89"/>
      <c r="G41" s="89"/>
      <c r="I41" s="89"/>
      <c r="J41" s="89"/>
      <c r="K41" s="89"/>
      <c r="L41" s="89"/>
      <c r="P41">
        <f t="shared" si="2"/>
        <v>0</v>
      </c>
    </row>
    <row r="42" spans="2:17" x14ac:dyDescent="0.25">
      <c r="B42" s="89"/>
      <c r="C42" s="89"/>
      <c r="D42" s="89"/>
      <c r="F42" s="89"/>
      <c r="G42" s="89"/>
      <c r="I42" s="89"/>
      <c r="J42" s="89"/>
      <c r="K42" s="89"/>
      <c r="L42" s="89"/>
      <c r="P42">
        <f t="shared" si="2"/>
        <v>0</v>
      </c>
    </row>
    <row r="43" spans="2:17" x14ac:dyDescent="0.25">
      <c r="B43" s="89"/>
      <c r="C43" s="89"/>
      <c r="D43" s="89"/>
      <c r="F43" s="89"/>
      <c r="G43" s="89"/>
      <c r="I43" s="89"/>
      <c r="J43" s="89"/>
      <c r="K43" s="89"/>
      <c r="L43" s="89"/>
      <c r="P43">
        <f t="shared" si="2"/>
        <v>0</v>
      </c>
    </row>
    <row r="44" spans="2:17" x14ac:dyDescent="0.25">
      <c r="B44" s="89"/>
      <c r="C44" s="89"/>
      <c r="D44" s="89"/>
      <c r="F44" s="89"/>
      <c r="G44" s="89"/>
      <c r="I44" s="89"/>
      <c r="J44" s="89"/>
      <c r="K44" s="89"/>
      <c r="L44" s="89"/>
      <c r="P44">
        <f t="shared" si="2"/>
        <v>0</v>
      </c>
    </row>
    <row r="45" spans="2:17" x14ac:dyDescent="0.25">
      <c r="B45" s="89"/>
      <c r="C45" s="89"/>
      <c r="D45" s="89"/>
      <c r="F45" s="89"/>
      <c r="G45" s="89"/>
      <c r="I45" s="89"/>
      <c r="J45" s="89"/>
      <c r="K45" s="89"/>
      <c r="L45" s="89"/>
      <c r="P45">
        <f t="shared" si="2"/>
        <v>0</v>
      </c>
    </row>
    <row r="46" spans="2:17" x14ac:dyDescent="0.25">
      <c r="B46" s="89"/>
      <c r="C46" s="89"/>
      <c r="D46" s="89"/>
      <c r="F46" s="89"/>
      <c r="G46" s="89"/>
      <c r="I46" s="89"/>
      <c r="J46" s="89"/>
      <c r="K46" s="89"/>
      <c r="L46" s="89"/>
      <c r="P46">
        <f t="shared" si="2"/>
        <v>0</v>
      </c>
      <c r="Q46" s="53"/>
    </row>
    <row r="47" spans="2:17" x14ac:dyDescent="0.25">
      <c r="B47" s="89"/>
      <c r="C47" s="89"/>
      <c r="D47" s="89"/>
      <c r="F47" s="89"/>
      <c r="G47" s="89"/>
      <c r="I47" s="89"/>
      <c r="J47" s="89"/>
      <c r="K47" s="89"/>
      <c r="L47" s="89"/>
      <c r="P47">
        <f t="shared" si="2"/>
        <v>0</v>
      </c>
    </row>
    <row r="48" spans="2:17" x14ac:dyDescent="0.25">
      <c r="B48" s="89"/>
      <c r="C48" s="89"/>
      <c r="D48" s="89"/>
      <c r="F48" s="89"/>
      <c r="G48" s="89"/>
      <c r="I48" s="89"/>
      <c r="J48" s="89"/>
      <c r="K48" s="89"/>
      <c r="L48" s="89"/>
      <c r="P48">
        <f t="shared" si="2"/>
        <v>0</v>
      </c>
    </row>
    <row r="49" spans="2:16" x14ac:dyDescent="0.25">
      <c r="B49" s="89"/>
      <c r="C49" s="89"/>
      <c r="D49" s="89"/>
      <c r="F49" s="89"/>
      <c r="G49" s="89"/>
      <c r="I49" s="89"/>
      <c r="J49" s="89"/>
      <c r="K49" s="89"/>
      <c r="L49" s="89"/>
      <c r="P49">
        <f t="shared" si="2"/>
        <v>0</v>
      </c>
    </row>
    <row r="50" spans="2:16" x14ac:dyDescent="0.25">
      <c r="B50" s="89"/>
      <c r="C50" s="89"/>
      <c r="D50" s="89"/>
      <c r="F50" s="89"/>
      <c r="G50" s="89"/>
      <c r="I50" s="89"/>
      <c r="J50" s="89"/>
      <c r="K50" s="89"/>
      <c r="L50" s="89"/>
      <c r="P50">
        <f t="shared" si="2"/>
        <v>0</v>
      </c>
    </row>
    <row r="51" spans="2:16" x14ac:dyDescent="0.25">
      <c r="B51" s="89"/>
      <c r="C51" s="89"/>
      <c r="D51" s="89"/>
      <c r="F51" s="89"/>
      <c r="G51" s="89"/>
      <c r="I51" s="89"/>
      <c r="J51" s="89"/>
      <c r="K51" s="89"/>
      <c r="L51" s="89"/>
      <c r="P51">
        <f t="shared" si="2"/>
        <v>0</v>
      </c>
    </row>
    <row r="52" spans="2:16" x14ac:dyDescent="0.25">
      <c r="B52" s="89"/>
      <c r="C52" s="89"/>
      <c r="D52" s="89"/>
      <c r="F52" s="89"/>
      <c r="G52" s="89"/>
      <c r="I52" s="89"/>
      <c r="J52" s="89"/>
      <c r="K52" s="89"/>
      <c r="L52" s="89"/>
      <c r="P52">
        <f t="shared" si="2"/>
        <v>0</v>
      </c>
    </row>
    <row r="53" spans="2:16" x14ac:dyDescent="0.25">
      <c r="B53" s="89"/>
      <c r="C53" s="89"/>
      <c r="D53" s="89"/>
      <c r="F53" s="89"/>
      <c r="G53" s="89"/>
      <c r="I53" s="89"/>
      <c r="J53" s="89"/>
      <c r="K53" s="89"/>
      <c r="L53" s="89"/>
      <c r="P53">
        <f t="shared" si="2"/>
        <v>0</v>
      </c>
    </row>
    <row r="54" spans="2:16" x14ac:dyDescent="0.25">
      <c r="B54" s="89"/>
      <c r="C54" s="89"/>
      <c r="D54" s="89"/>
      <c r="F54" s="89"/>
      <c r="G54" s="89"/>
      <c r="I54" s="89"/>
      <c r="J54" s="89"/>
      <c r="K54" s="89"/>
      <c r="L54" s="89"/>
      <c r="P54">
        <f t="shared" si="2"/>
        <v>0</v>
      </c>
    </row>
    <row r="55" spans="2:16" x14ac:dyDescent="0.25">
      <c r="B55" s="89"/>
      <c r="C55" s="89"/>
      <c r="D55" s="89"/>
      <c r="F55" s="89"/>
      <c r="G55" s="89"/>
      <c r="I55" s="89"/>
      <c r="J55" s="89"/>
      <c r="K55" s="89"/>
      <c r="L55" s="89"/>
      <c r="P55">
        <f t="shared" si="2"/>
        <v>0</v>
      </c>
    </row>
    <row r="56" spans="2:16" x14ac:dyDescent="0.25">
      <c r="B56" s="89"/>
      <c r="C56" s="89"/>
      <c r="D56" s="89"/>
      <c r="F56" s="89"/>
      <c r="G56" s="89"/>
      <c r="I56" s="89"/>
      <c r="J56" s="89"/>
      <c r="K56" s="89"/>
      <c r="L56" s="89"/>
      <c r="P56">
        <f t="shared" si="2"/>
        <v>0</v>
      </c>
    </row>
    <row r="57" spans="2:16" x14ac:dyDescent="0.25">
      <c r="B57" s="89"/>
      <c r="C57" s="89"/>
      <c r="D57" s="89"/>
      <c r="F57" s="89"/>
      <c r="G57" s="89"/>
      <c r="I57" s="89"/>
      <c r="J57" s="89"/>
      <c r="K57" s="89"/>
      <c r="L57" s="89"/>
      <c r="P57">
        <f t="shared" si="2"/>
        <v>0</v>
      </c>
    </row>
    <row r="58" spans="2:16" x14ac:dyDescent="0.25">
      <c r="B58" s="89"/>
      <c r="C58" s="89"/>
      <c r="D58" s="89"/>
      <c r="F58" s="89"/>
      <c r="G58" s="89"/>
      <c r="I58" s="89"/>
      <c r="J58" s="89"/>
      <c r="K58" s="89"/>
      <c r="L58" s="89"/>
      <c r="P58">
        <f t="shared" si="2"/>
        <v>0</v>
      </c>
    </row>
    <row r="59" spans="2:16" x14ac:dyDescent="0.25">
      <c r="B59" s="89"/>
      <c r="C59" s="89"/>
      <c r="D59" s="89"/>
      <c r="F59" s="89"/>
      <c r="G59" s="89"/>
      <c r="I59" s="89"/>
      <c r="J59" s="89"/>
      <c r="K59" s="89"/>
      <c r="L59" s="89"/>
      <c r="P59">
        <f t="shared" si="2"/>
        <v>0</v>
      </c>
    </row>
    <row r="60" spans="2:16" x14ac:dyDescent="0.25">
      <c r="B60" s="89"/>
      <c r="C60" s="89"/>
      <c r="D60" s="89"/>
      <c r="F60" s="89"/>
      <c r="G60" s="89"/>
      <c r="I60" s="89"/>
      <c r="J60" s="89"/>
      <c r="K60" s="89"/>
      <c r="L60" s="89"/>
      <c r="P60">
        <f t="shared" si="2"/>
        <v>0</v>
      </c>
    </row>
    <row r="61" spans="2:16" x14ac:dyDescent="0.25">
      <c r="B61" s="89"/>
      <c r="C61" s="89"/>
      <c r="D61" s="89"/>
      <c r="F61" s="89"/>
      <c r="G61" s="89"/>
      <c r="I61" s="89"/>
      <c r="J61" s="89"/>
      <c r="K61" s="89"/>
      <c r="L61" s="89"/>
      <c r="P61">
        <f t="shared" si="2"/>
        <v>0</v>
      </c>
    </row>
    <row r="62" spans="2:16" x14ac:dyDescent="0.25">
      <c r="B62" s="89"/>
      <c r="C62" s="89"/>
      <c r="D62" s="89"/>
      <c r="F62" s="89"/>
      <c r="G62" s="89"/>
      <c r="I62" s="89"/>
      <c r="J62" s="89"/>
      <c r="K62" s="89"/>
      <c r="L62" s="89"/>
      <c r="P62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Address spaces Reduced</vt:lpstr>
      <vt:lpstr>Address spaces (2)</vt:lpstr>
      <vt:lpstr>Sheet2</vt:lpstr>
      <vt:lpstr>OPCode Spaces</vt:lpstr>
      <vt:lpstr>7Seg</vt:lpstr>
      <vt:lpstr>7Seg board</vt:lpstr>
      <vt:lpstr>LCD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Gerrit Buter</dc:creator>
  <cp:keywords/>
  <dc:description/>
  <cp:lastModifiedBy>Gerrit Buter</cp:lastModifiedBy>
  <cp:revision/>
  <dcterms:created xsi:type="dcterms:W3CDTF">2025-02-05T11:13:21Z</dcterms:created>
  <dcterms:modified xsi:type="dcterms:W3CDTF">2025-11-11T10:15:29Z</dcterms:modified>
  <cp:category/>
  <cp:contentStatus/>
</cp:coreProperties>
</file>