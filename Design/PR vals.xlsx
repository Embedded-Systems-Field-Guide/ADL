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19378d0b12923ecc/Documents/Nwu/Modules/Project/ADL/"/>
    </mc:Choice>
  </mc:AlternateContent>
  <xr:revisionPtr revIDLastSave="171" documentId="11_F25DC773A252ABDACC10480201196A365BDE58E7" xr6:coauthVersionLast="47" xr6:coauthVersionMax="47" xr10:uidLastSave="{8A6948DE-00CC-4D64-B499-1DFEBC545B5A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1" l="1"/>
  <c r="N14" i="1"/>
  <c r="R15" i="1"/>
  <c r="M2" i="1"/>
  <c r="J2" i="1"/>
  <c r="D4" i="1"/>
  <c r="D5" i="1" s="1"/>
  <c r="F5" i="1" s="1"/>
  <c r="C55" i="1"/>
  <c r="C56" i="1"/>
  <c r="C57" i="1"/>
  <c r="C54" i="1"/>
  <c r="C4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8" i="1"/>
  <c r="E4" i="1" l="1"/>
  <c r="F4" i="1"/>
  <c r="E6" i="1"/>
  <c r="D6" i="1"/>
  <c r="C5" i="1"/>
  <c r="E5" i="1" s="1"/>
  <c r="F6" i="1" l="1"/>
  <c r="D7" i="1"/>
  <c r="E7" i="1"/>
  <c r="D8" i="1" l="1"/>
  <c r="F7" i="1"/>
  <c r="E8" i="1"/>
  <c r="D9" i="1" l="1"/>
  <c r="E9" i="1"/>
  <c r="F8" i="1"/>
  <c r="F9" i="1" l="1"/>
  <c r="D10" i="1"/>
  <c r="E10" i="1"/>
  <c r="E11" i="1" l="1"/>
  <c r="F10" i="1"/>
  <c r="D11" i="1"/>
  <c r="E12" i="1" l="1"/>
  <c r="F11" i="1"/>
  <c r="D12" i="1"/>
  <c r="D13" i="1" l="1"/>
  <c r="E13" i="1"/>
  <c r="F12" i="1"/>
  <c r="F13" i="1" l="1"/>
  <c r="D14" i="1"/>
  <c r="E14" i="1"/>
  <c r="E15" i="1" l="1"/>
  <c r="F14" i="1"/>
  <c r="D15" i="1"/>
  <c r="D16" i="1" l="1"/>
  <c r="E16" i="1"/>
  <c r="F15" i="1"/>
  <c r="D17" i="1" l="1"/>
  <c r="E17" i="1"/>
  <c r="F16" i="1"/>
  <c r="F17" i="1" l="1"/>
  <c r="D18" i="1"/>
  <c r="E18" i="1"/>
  <c r="E19" i="1" l="1"/>
  <c r="F18" i="1"/>
  <c r="D19" i="1"/>
  <c r="E20" i="1" l="1"/>
  <c r="D20" i="1"/>
  <c r="F19" i="1"/>
  <c r="D21" i="1" l="1"/>
  <c r="E21" i="1"/>
  <c r="F20" i="1"/>
  <c r="F21" i="1" l="1"/>
  <c r="D22" i="1"/>
  <c r="E22" i="1"/>
  <c r="F22" i="1" l="1"/>
  <c r="D23" i="1"/>
  <c r="E23" i="1"/>
  <c r="E24" i="1" l="1"/>
  <c r="D24" i="1"/>
  <c r="F23" i="1"/>
  <c r="D25" i="1" l="1"/>
  <c r="E25" i="1"/>
  <c r="F24" i="1"/>
  <c r="F25" i="1" l="1"/>
  <c r="D26" i="1"/>
  <c r="E26" i="1"/>
  <c r="E27" i="1" l="1"/>
  <c r="F26" i="1"/>
  <c r="D27" i="1"/>
  <c r="D28" i="1" l="1"/>
  <c r="E28" i="1"/>
  <c r="F27" i="1"/>
  <c r="D29" i="1" l="1"/>
  <c r="E29" i="1"/>
  <c r="F28" i="1"/>
  <c r="F29" i="1" l="1"/>
  <c r="D30" i="1"/>
  <c r="E30" i="1"/>
  <c r="E31" i="1" l="1"/>
  <c r="F30" i="1"/>
  <c r="D31" i="1"/>
  <c r="E32" i="1" l="1"/>
  <c r="D32" i="1"/>
  <c r="F31" i="1"/>
  <c r="D33" i="1" l="1"/>
  <c r="E33" i="1"/>
  <c r="F32" i="1"/>
  <c r="F33" i="1" l="1"/>
  <c r="D34" i="1"/>
  <c r="E34" i="1"/>
  <c r="F34" i="1" l="1"/>
  <c r="E35" i="1"/>
  <c r="D35" i="1"/>
  <c r="D36" i="1" l="1"/>
  <c r="E36" i="1"/>
  <c r="F35" i="1"/>
  <c r="D37" i="1" l="1"/>
  <c r="E37" i="1"/>
  <c r="F36" i="1"/>
  <c r="F37" i="1" l="1"/>
  <c r="D38" i="1"/>
  <c r="E38" i="1"/>
  <c r="F38" i="1" l="1"/>
  <c r="D39" i="1"/>
  <c r="E39" i="1"/>
  <c r="D40" i="1" l="1"/>
  <c r="F39" i="1"/>
  <c r="E40" i="1"/>
  <c r="D41" i="1" l="1"/>
  <c r="F40" i="1"/>
  <c r="E41" i="1"/>
  <c r="F41" i="1" l="1"/>
  <c r="D42" i="1"/>
  <c r="E42" i="1"/>
  <c r="F42" i="1" l="1"/>
  <c r="D43" i="1"/>
  <c r="E43" i="1"/>
  <c r="D44" i="1" l="1"/>
  <c r="F43" i="1"/>
  <c r="E44" i="1"/>
  <c r="D45" i="1" l="1"/>
  <c r="E45" i="1"/>
  <c r="F44" i="1"/>
  <c r="F45" i="1" l="1"/>
  <c r="D46" i="1"/>
  <c r="E46" i="1"/>
  <c r="E47" i="1" l="1"/>
  <c r="D47" i="1"/>
  <c r="F46" i="1"/>
  <c r="D48" i="1" l="1"/>
  <c r="E48" i="1"/>
  <c r="F47" i="1"/>
  <c r="D49" i="1" l="1"/>
  <c r="E49" i="1"/>
  <c r="F48" i="1"/>
  <c r="F49" i="1" l="1"/>
  <c r="D50" i="1"/>
  <c r="E50" i="1"/>
  <c r="E51" i="1" l="1"/>
  <c r="F50" i="1"/>
  <c r="D51" i="1"/>
  <c r="E52" i="1" l="1"/>
  <c r="D52" i="1"/>
  <c r="F51" i="1"/>
  <c r="D53" i="1" l="1"/>
  <c r="E53" i="1"/>
  <c r="F52" i="1"/>
  <c r="F53" i="1" l="1"/>
  <c r="D54" i="1"/>
  <c r="E54" i="1"/>
  <c r="D55" i="1" l="1"/>
  <c r="F54" i="1"/>
  <c r="E55" i="1"/>
  <c r="E56" i="1" l="1"/>
  <c r="D56" i="1"/>
  <c r="F55" i="1"/>
  <c r="D57" i="1" l="1"/>
  <c r="E57" i="1"/>
  <c r="F56" i="1"/>
  <c r="F57" i="1" l="1"/>
  <c r="D58" i="1"/>
  <c r="F58" i="1" s="1"/>
  <c r="E58" i="1"/>
</calcChain>
</file>

<file path=xl/sharedStrings.xml><?xml version="1.0" encoding="utf-8"?>
<sst xmlns="http://schemas.openxmlformats.org/spreadsheetml/2006/main" count="3" uniqueCount="3">
  <si>
    <t>clk fr</t>
  </si>
  <si>
    <t>Fr</t>
  </si>
  <si>
    <t>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</si>
</sst>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quotePrefix="1"/>
    <xf numFmtId="164" fontId="0" fillId="0" borderId="0" xfId="1" applyNumberFormat="1" applyFont="1"/>
    <xf numFmtId="17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58"/>
  <sheetViews>
    <sheetView tabSelected="1" zoomScale="85" zoomScaleNormal="85" workbookViewId="0">
      <selection activeCell="J18" sqref="J18"/>
    </sheetView>
  </sheetViews>
  <sheetFormatPr defaultRowHeight="15" x14ac:dyDescent="0.25"/>
  <cols>
    <col min="10" max="10" width="22.85546875" customWidth="1"/>
  </cols>
  <sheetData>
    <row r="1" spans="2:18" x14ac:dyDescent="0.25">
      <c r="C1" t="s">
        <v>1</v>
      </c>
    </row>
    <row r="2" spans="2:18" x14ac:dyDescent="0.25">
      <c r="B2" t="s">
        <v>0</v>
      </c>
      <c r="C2">
        <v>10000</v>
      </c>
      <c r="J2" s="2">
        <f>1/C2</f>
        <v>1E-4</v>
      </c>
      <c r="M2">
        <f>1/0.00000645</f>
        <v>155038.75968992247</v>
      </c>
    </row>
    <row r="3" spans="2:18" x14ac:dyDescent="0.25">
      <c r="B3" t="s">
        <v>2</v>
      </c>
      <c r="C3">
        <v>1</v>
      </c>
      <c r="D3">
        <v>32</v>
      </c>
      <c r="E3">
        <v>64</v>
      </c>
      <c r="F3">
        <v>128</v>
      </c>
      <c r="J3">
        <v>1E-4</v>
      </c>
    </row>
    <row r="4" spans="2:18" x14ac:dyDescent="0.25">
      <c r="B4">
        <v>255</v>
      </c>
      <c r="C4">
        <f t="shared" ref="C4:C35" si="0">($C$2/2)/B4</f>
        <v>19.607843137254903</v>
      </c>
      <c r="D4">
        <f>($C$2/2)/(B4*$D3)</f>
        <v>0.61274509803921573</v>
      </c>
      <c r="E4">
        <f t="shared" ref="E4:F4" si="1">($C$2/2)/(C4*$D3)</f>
        <v>7.9687499999999991</v>
      </c>
      <c r="F4">
        <f t="shared" si="1"/>
        <v>254.99999999999997</v>
      </c>
      <c r="J4">
        <v>0</v>
      </c>
    </row>
    <row r="5" spans="2:18" x14ac:dyDescent="0.25">
      <c r="B5">
        <v>250</v>
      </c>
      <c r="C5">
        <f t="shared" si="0"/>
        <v>20</v>
      </c>
      <c r="D5">
        <f t="shared" ref="D5:D58" si="2">($C$2/2)/(B5*$D4)</f>
        <v>32.64</v>
      </c>
      <c r="E5">
        <f t="shared" ref="E5:E58" si="3">($C$2/2)/(C5*$D4)</f>
        <v>407.99999999999994</v>
      </c>
      <c r="F5">
        <f t="shared" ref="F5:F58" si="4">($C$2/2)/(D5*$D4)</f>
        <v>250</v>
      </c>
    </row>
    <row r="6" spans="2:18" x14ac:dyDescent="0.25">
      <c r="B6">
        <v>245</v>
      </c>
      <c r="C6">
        <f t="shared" si="0"/>
        <v>20.408163265306122</v>
      </c>
      <c r="D6">
        <f t="shared" si="2"/>
        <v>0.62525010004001602</v>
      </c>
      <c r="E6">
        <f t="shared" si="3"/>
        <v>7.5061274509803928</v>
      </c>
      <c r="F6">
        <f t="shared" si="4"/>
        <v>245</v>
      </c>
    </row>
    <row r="7" spans="2:18" x14ac:dyDescent="0.25">
      <c r="B7">
        <v>240</v>
      </c>
      <c r="C7">
        <f t="shared" si="0"/>
        <v>20.833333333333332</v>
      </c>
      <c r="D7">
        <f t="shared" si="2"/>
        <v>33.32</v>
      </c>
      <c r="E7">
        <f t="shared" si="3"/>
        <v>383.84640000000002</v>
      </c>
      <c r="F7">
        <f t="shared" si="4"/>
        <v>239.99999999999997</v>
      </c>
    </row>
    <row r="8" spans="2:18" x14ac:dyDescent="0.25">
      <c r="B8">
        <v>235</v>
      </c>
      <c r="C8">
        <f t="shared" si="0"/>
        <v>21.276595744680851</v>
      </c>
      <c r="D8">
        <f t="shared" si="2"/>
        <v>0.63855329365788871</v>
      </c>
      <c r="E8">
        <f t="shared" si="3"/>
        <v>7.05282112845138</v>
      </c>
      <c r="F8">
        <f t="shared" si="4"/>
        <v>235</v>
      </c>
    </row>
    <row r="9" spans="2:18" x14ac:dyDescent="0.25">
      <c r="B9">
        <v>230</v>
      </c>
      <c r="C9">
        <f t="shared" si="0"/>
        <v>21.739130434782609</v>
      </c>
      <c r="D9">
        <f t="shared" si="2"/>
        <v>34.044347826086955</v>
      </c>
      <c r="E9">
        <f t="shared" si="3"/>
        <v>360.18919999999997</v>
      </c>
      <c r="F9">
        <f t="shared" si="4"/>
        <v>230</v>
      </c>
    </row>
    <row r="10" spans="2:18" x14ac:dyDescent="0.25">
      <c r="B10">
        <v>225</v>
      </c>
      <c r="C10">
        <f t="shared" si="0"/>
        <v>22.222222222222221</v>
      </c>
      <c r="D10">
        <f t="shared" si="2"/>
        <v>0.65274336685028622</v>
      </c>
      <c r="E10">
        <f t="shared" si="3"/>
        <v>6.6090265893591482</v>
      </c>
      <c r="F10">
        <f t="shared" si="4"/>
        <v>225</v>
      </c>
    </row>
    <row r="11" spans="2:18" x14ac:dyDescent="0.25">
      <c r="B11">
        <v>220</v>
      </c>
      <c r="C11">
        <f t="shared" si="0"/>
        <v>22.727272727272727</v>
      </c>
      <c r="D11">
        <f t="shared" si="2"/>
        <v>34.818083003952573</v>
      </c>
      <c r="E11">
        <f t="shared" si="3"/>
        <v>337.03904347826085</v>
      </c>
      <c r="F11">
        <f t="shared" si="4"/>
        <v>219.99999999999997</v>
      </c>
    </row>
    <row r="12" spans="2:18" x14ac:dyDescent="0.25">
      <c r="B12">
        <v>215</v>
      </c>
      <c r="C12">
        <f t="shared" si="0"/>
        <v>23.255813953488371</v>
      </c>
      <c r="D12">
        <f t="shared" si="2"/>
        <v>0.66792344514913005</v>
      </c>
      <c r="E12">
        <f t="shared" si="3"/>
        <v>6.1749522504037078</v>
      </c>
      <c r="F12">
        <f t="shared" si="4"/>
        <v>214.99999999999997</v>
      </c>
    </row>
    <row r="13" spans="2:18" x14ac:dyDescent="0.25">
      <c r="B13">
        <v>210</v>
      </c>
      <c r="C13">
        <f t="shared" si="0"/>
        <v>23.80952380952381</v>
      </c>
      <c r="D13">
        <f t="shared" si="2"/>
        <v>35.64708498023716</v>
      </c>
      <c r="E13">
        <f t="shared" si="3"/>
        <v>314.40728952569168</v>
      </c>
      <c r="F13">
        <f t="shared" si="4"/>
        <v>209.99999999999997</v>
      </c>
    </row>
    <row r="14" spans="2:18" x14ac:dyDescent="0.25">
      <c r="B14">
        <v>205</v>
      </c>
      <c r="C14">
        <f t="shared" si="0"/>
        <v>24.390243902439025</v>
      </c>
      <c r="D14">
        <f t="shared" si="2"/>
        <v>0.68421426088447457</v>
      </c>
      <c r="E14">
        <f t="shared" si="3"/>
        <v>5.7508208627340087</v>
      </c>
      <c r="F14">
        <f t="shared" si="4"/>
        <v>205</v>
      </c>
      <c r="N14">
        <f>1/50</f>
        <v>0.02</v>
      </c>
    </row>
    <row r="15" spans="2:18" x14ac:dyDescent="0.25">
      <c r="B15">
        <v>200</v>
      </c>
      <c r="C15">
        <f t="shared" si="0"/>
        <v>25</v>
      </c>
      <c r="D15">
        <f t="shared" si="2"/>
        <v>36.53826210474309</v>
      </c>
      <c r="E15">
        <f t="shared" si="3"/>
        <v>292.30609683794472</v>
      </c>
      <c r="F15">
        <f t="shared" si="4"/>
        <v>200</v>
      </c>
      <c r="R15" s="3">
        <f>1/50</f>
        <v>0.02</v>
      </c>
    </row>
    <row r="16" spans="2:18" x14ac:dyDescent="0.25">
      <c r="B16">
        <v>195</v>
      </c>
      <c r="C16">
        <f t="shared" si="0"/>
        <v>25.641025641025642</v>
      </c>
      <c r="D16">
        <f t="shared" si="2"/>
        <v>0.70175821629176882</v>
      </c>
      <c r="E16">
        <f t="shared" si="3"/>
        <v>5.3368712348989016</v>
      </c>
      <c r="F16">
        <f t="shared" si="4"/>
        <v>195</v>
      </c>
    </row>
    <row r="17" spans="2:16" x14ac:dyDescent="0.25">
      <c r="B17">
        <v>190</v>
      </c>
      <c r="C17">
        <f t="shared" si="0"/>
        <v>26.315789473684209</v>
      </c>
      <c r="D17">
        <f t="shared" si="2"/>
        <v>37.499795318025797</v>
      </c>
      <c r="E17">
        <f t="shared" si="3"/>
        <v>270.74852219614633</v>
      </c>
      <c r="F17">
        <f t="shared" si="4"/>
        <v>190.00000000000003</v>
      </c>
    </row>
    <row r="18" spans="2:16" x14ac:dyDescent="0.25">
      <c r="B18">
        <v>185</v>
      </c>
      <c r="C18">
        <f t="shared" si="0"/>
        <v>27.027027027027028</v>
      </c>
      <c r="D18">
        <f t="shared" si="2"/>
        <v>0.72072465456992485</v>
      </c>
      <c r="E18">
        <f t="shared" si="3"/>
        <v>4.9333602605311357</v>
      </c>
      <c r="F18">
        <f t="shared" si="4"/>
        <v>185</v>
      </c>
      <c r="J18">
        <f>10000/50</f>
        <v>200</v>
      </c>
    </row>
    <row r="19" spans="2:16" x14ac:dyDescent="0.25">
      <c r="B19">
        <v>180</v>
      </c>
      <c r="C19">
        <f t="shared" si="0"/>
        <v>27.777777777777779</v>
      </c>
      <c r="D19">
        <f t="shared" si="2"/>
        <v>38.541456299082064</v>
      </c>
      <c r="E19">
        <f t="shared" si="3"/>
        <v>249.74863681805181</v>
      </c>
      <c r="F19">
        <f t="shared" si="4"/>
        <v>180.00000000000003</v>
      </c>
    </row>
    <row r="20" spans="2:16" x14ac:dyDescent="0.25">
      <c r="B20">
        <v>175</v>
      </c>
      <c r="C20">
        <f t="shared" si="0"/>
        <v>28.571428571428573</v>
      </c>
      <c r="D20">
        <f t="shared" si="2"/>
        <v>0.74131678755763697</v>
      </c>
      <c r="E20">
        <f t="shared" si="3"/>
        <v>4.5405653237905268</v>
      </c>
      <c r="F20">
        <f t="shared" si="4"/>
        <v>175</v>
      </c>
    </row>
    <row r="21" spans="2:16" x14ac:dyDescent="0.25">
      <c r="B21">
        <v>170</v>
      </c>
      <c r="C21">
        <f t="shared" si="0"/>
        <v>29.411764705882351</v>
      </c>
      <c r="D21">
        <f t="shared" si="2"/>
        <v>39.675028543172715</v>
      </c>
      <c r="E21">
        <f t="shared" si="3"/>
        <v>229.32166497953833</v>
      </c>
      <c r="F21">
        <f t="shared" si="4"/>
        <v>170</v>
      </c>
    </row>
    <row r="22" spans="2:16" x14ac:dyDescent="0.25">
      <c r="B22">
        <v>165</v>
      </c>
      <c r="C22">
        <f t="shared" si="0"/>
        <v>30.303030303030305</v>
      </c>
      <c r="D22">
        <f t="shared" si="2"/>
        <v>0.76378093263514124</v>
      </c>
      <c r="E22">
        <f t="shared" si="3"/>
        <v>4.1587871781983434</v>
      </c>
      <c r="F22">
        <f t="shared" si="4"/>
        <v>165</v>
      </c>
    </row>
    <row r="23" spans="2:16" x14ac:dyDescent="0.25">
      <c r="B23">
        <v>160</v>
      </c>
      <c r="C23">
        <f t="shared" si="0"/>
        <v>31.25</v>
      </c>
      <c r="D23">
        <f t="shared" si="2"/>
        <v>40.91487318514686</v>
      </c>
      <c r="E23">
        <f t="shared" si="3"/>
        <v>209.48415070795193</v>
      </c>
      <c r="F23">
        <f t="shared" si="4"/>
        <v>160</v>
      </c>
    </row>
    <row r="24" spans="2:16" x14ac:dyDescent="0.25">
      <c r="B24">
        <v>155</v>
      </c>
      <c r="C24">
        <f t="shared" si="0"/>
        <v>32.258064516129032</v>
      </c>
      <c r="D24">
        <f t="shared" si="2"/>
        <v>0.78841902723627477</v>
      </c>
      <c r="E24">
        <f t="shared" si="3"/>
        <v>3.7883534258703002</v>
      </c>
      <c r="F24">
        <f t="shared" si="4"/>
        <v>155</v>
      </c>
    </row>
    <row r="25" spans="2:16" x14ac:dyDescent="0.25">
      <c r="B25">
        <v>150</v>
      </c>
      <c r="C25">
        <f t="shared" si="0"/>
        <v>33.333333333333336</v>
      </c>
      <c r="D25">
        <f t="shared" si="2"/>
        <v>42.278702291318424</v>
      </c>
      <c r="E25">
        <f t="shared" si="3"/>
        <v>190.25416031093289</v>
      </c>
      <c r="F25">
        <f t="shared" si="4"/>
        <v>150</v>
      </c>
    </row>
    <row r="26" spans="2:16" x14ac:dyDescent="0.25">
      <c r="B26">
        <v>145</v>
      </c>
      <c r="C26">
        <f t="shared" si="0"/>
        <v>34.482758620689658</v>
      </c>
      <c r="D26">
        <f t="shared" si="2"/>
        <v>0.8156058902444222</v>
      </c>
      <c r="E26">
        <f t="shared" si="3"/>
        <v>3.4296227684777949</v>
      </c>
      <c r="F26">
        <f t="shared" si="4"/>
        <v>145</v>
      </c>
      <c r="P26">
        <v>6.4516129032258064E-6</v>
      </c>
    </row>
    <row r="27" spans="2:16" x14ac:dyDescent="0.25">
      <c r="B27">
        <v>140</v>
      </c>
      <c r="C27">
        <f t="shared" si="0"/>
        <v>35.714285714285715</v>
      </c>
      <c r="D27">
        <f t="shared" si="2"/>
        <v>43.788655944579794</v>
      </c>
      <c r="E27">
        <f t="shared" si="3"/>
        <v>171.6515313027528</v>
      </c>
      <c r="F27">
        <f t="shared" si="4"/>
        <v>140</v>
      </c>
    </row>
    <row r="28" spans="2:16" x14ac:dyDescent="0.25">
      <c r="B28">
        <v>135</v>
      </c>
      <c r="C28">
        <f t="shared" si="0"/>
        <v>37.037037037037038</v>
      </c>
      <c r="D28">
        <f t="shared" si="2"/>
        <v>0.84581351580903041</v>
      </c>
      <c r="E28">
        <f t="shared" si="3"/>
        <v>3.0829902651239163</v>
      </c>
      <c r="F28">
        <f t="shared" si="4"/>
        <v>135</v>
      </c>
    </row>
    <row r="29" spans="2:16" x14ac:dyDescent="0.25">
      <c r="B29">
        <v>130</v>
      </c>
      <c r="C29">
        <f t="shared" si="0"/>
        <v>38.46153846153846</v>
      </c>
      <c r="D29">
        <f t="shared" si="2"/>
        <v>45.472835019371331</v>
      </c>
      <c r="E29">
        <f t="shared" si="3"/>
        <v>153.69818236547508</v>
      </c>
      <c r="F29">
        <f t="shared" si="4"/>
        <v>129.99999999999997</v>
      </c>
    </row>
    <row r="30" spans="2:16" x14ac:dyDescent="0.25">
      <c r="B30">
        <v>125</v>
      </c>
      <c r="C30">
        <f t="shared" si="0"/>
        <v>40</v>
      </c>
      <c r="D30">
        <f t="shared" si="2"/>
        <v>0.87964605644139149</v>
      </c>
      <c r="E30">
        <f t="shared" si="3"/>
        <v>2.7488939263793486</v>
      </c>
      <c r="F30">
        <f t="shared" si="4"/>
        <v>125</v>
      </c>
    </row>
    <row r="31" spans="2:16" x14ac:dyDescent="0.25">
      <c r="B31">
        <v>120</v>
      </c>
      <c r="C31">
        <f t="shared" si="0"/>
        <v>41.666666666666664</v>
      </c>
      <c r="D31">
        <f t="shared" si="2"/>
        <v>47.367536478511802</v>
      </c>
      <c r="E31">
        <f t="shared" si="3"/>
        <v>136.41850505811399</v>
      </c>
      <c r="F31">
        <f t="shared" si="4"/>
        <v>120</v>
      </c>
    </row>
    <row r="32" spans="2:16" x14ac:dyDescent="0.25">
      <c r="B32">
        <v>115</v>
      </c>
      <c r="C32">
        <f t="shared" si="0"/>
        <v>43.478260869565219</v>
      </c>
      <c r="D32">
        <f t="shared" si="2"/>
        <v>0.91789153715623462</v>
      </c>
      <c r="E32">
        <f t="shared" si="3"/>
        <v>2.4278231157782404</v>
      </c>
      <c r="F32">
        <f t="shared" si="4"/>
        <v>115.00000000000001</v>
      </c>
    </row>
    <row r="33" spans="2:10" x14ac:dyDescent="0.25">
      <c r="B33">
        <v>110</v>
      </c>
      <c r="C33">
        <f t="shared" si="0"/>
        <v>45.454545454545453</v>
      </c>
      <c r="D33">
        <f t="shared" si="2"/>
        <v>49.520606318444159</v>
      </c>
      <c r="E33">
        <f t="shared" si="3"/>
        <v>119.83986729063487</v>
      </c>
      <c r="F33">
        <f t="shared" si="4"/>
        <v>110</v>
      </c>
    </row>
    <row r="34" spans="2:10" x14ac:dyDescent="0.25">
      <c r="B34">
        <v>105</v>
      </c>
      <c r="C34">
        <f t="shared" si="0"/>
        <v>47.61904761904762</v>
      </c>
      <c r="D34">
        <f t="shared" si="2"/>
        <v>0.96160065797319816</v>
      </c>
      <c r="E34">
        <f t="shared" si="3"/>
        <v>2.1203294508309019</v>
      </c>
      <c r="F34">
        <f t="shared" si="4"/>
        <v>105</v>
      </c>
    </row>
    <row r="35" spans="2:10" x14ac:dyDescent="0.25">
      <c r="B35">
        <v>100</v>
      </c>
      <c r="C35">
        <f t="shared" si="0"/>
        <v>50</v>
      </c>
      <c r="D35">
        <f t="shared" si="2"/>
        <v>51.996636634366368</v>
      </c>
      <c r="E35">
        <f t="shared" si="3"/>
        <v>103.99327326873274</v>
      </c>
      <c r="F35">
        <f t="shared" si="4"/>
        <v>100</v>
      </c>
    </row>
    <row r="36" spans="2:10" x14ac:dyDescent="0.25">
      <c r="B36">
        <v>95</v>
      </c>
      <c r="C36">
        <f t="shared" ref="C36:C58" si="5">($C$2/2)/B36</f>
        <v>52.631578947368418</v>
      </c>
      <c r="D36">
        <f t="shared" si="2"/>
        <v>1.0122112189191561</v>
      </c>
      <c r="E36">
        <f t="shared" si="3"/>
        <v>1.8270412501490767</v>
      </c>
      <c r="F36">
        <f t="shared" si="4"/>
        <v>95</v>
      </c>
    </row>
    <row r="37" spans="2:10" x14ac:dyDescent="0.25">
      <c r="B37">
        <v>90</v>
      </c>
      <c r="C37">
        <f t="shared" si="5"/>
        <v>55.555555555555557</v>
      </c>
      <c r="D37">
        <f t="shared" si="2"/>
        <v>54.885338669608942</v>
      </c>
      <c r="E37">
        <f t="shared" si="3"/>
        <v>88.914248644766474</v>
      </c>
      <c r="F37">
        <f t="shared" si="4"/>
        <v>90</v>
      </c>
    </row>
    <row r="38" spans="2:10" x14ac:dyDescent="0.25">
      <c r="B38">
        <v>85</v>
      </c>
      <c r="C38">
        <f t="shared" si="5"/>
        <v>58.823529411764703</v>
      </c>
      <c r="D38">
        <f t="shared" si="2"/>
        <v>1.0717530553261652</v>
      </c>
      <c r="E38">
        <f t="shared" si="3"/>
        <v>1.5486831649463089</v>
      </c>
      <c r="F38">
        <f t="shared" si="4"/>
        <v>85</v>
      </c>
    </row>
    <row r="39" spans="2:10" x14ac:dyDescent="0.25">
      <c r="B39">
        <v>80</v>
      </c>
      <c r="C39">
        <f t="shared" si="5"/>
        <v>62.5</v>
      </c>
      <c r="D39">
        <f t="shared" si="2"/>
        <v>58.3156723364595</v>
      </c>
      <c r="E39">
        <f t="shared" si="3"/>
        <v>74.644060590668161</v>
      </c>
      <c r="F39">
        <f t="shared" si="4"/>
        <v>80</v>
      </c>
    </row>
    <row r="40" spans="2:10" x14ac:dyDescent="0.25">
      <c r="B40">
        <v>75</v>
      </c>
      <c r="C40">
        <f t="shared" si="5"/>
        <v>66.666666666666671</v>
      </c>
      <c r="D40">
        <f t="shared" si="2"/>
        <v>1.1432032590145762</v>
      </c>
      <c r="E40">
        <f t="shared" si="3"/>
        <v>1.2861036663913981</v>
      </c>
      <c r="F40">
        <f t="shared" si="4"/>
        <v>75</v>
      </c>
    </row>
    <row r="41" spans="2:10" x14ac:dyDescent="0.25">
      <c r="B41">
        <v>70</v>
      </c>
      <c r="C41">
        <f t="shared" si="5"/>
        <v>71.428571428571431</v>
      </c>
      <c r="D41">
        <f t="shared" si="2"/>
        <v>62.481077503349461</v>
      </c>
      <c r="E41">
        <f t="shared" si="3"/>
        <v>61.23145595328247</v>
      </c>
      <c r="F41">
        <f t="shared" si="4"/>
        <v>70</v>
      </c>
    </row>
    <row r="42" spans="2:10" x14ac:dyDescent="0.25">
      <c r="B42">
        <v>65</v>
      </c>
      <c r="C42">
        <f t="shared" si="5"/>
        <v>76.92307692307692</v>
      </c>
      <c r="D42">
        <f t="shared" si="2"/>
        <v>1.2311419712464668</v>
      </c>
      <c r="E42">
        <f t="shared" si="3"/>
        <v>1.0403149657032646</v>
      </c>
      <c r="F42">
        <f t="shared" si="4"/>
        <v>64.999999999999986</v>
      </c>
    </row>
    <row r="43" spans="2:10" x14ac:dyDescent="0.25">
      <c r="B43">
        <v>60</v>
      </c>
      <c r="C43">
        <f t="shared" si="5"/>
        <v>83.333333333333329</v>
      </c>
      <c r="D43">
        <f t="shared" si="2"/>
        <v>67.6878339619619</v>
      </c>
      <c r="E43">
        <f t="shared" si="3"/>
        <v>48.73524045261258</v>
      </c>
      <c r="F43">
        <f t="shared" si="4"/>
        <v>60.000000000000014</v>
      </c>
    </row>
    <row r="44" spans="2:10" x14ac:dyDescent="0.25">
      <c r="B44">
        <v>55</v>
      </c>
      <c r="C44">
        <f t="shared" si="5"/>
        <v>90.909090909090907</v>
      </c>
      <c r="D44">
        <f t="shared" si="2"/>
        <v>1.3430639686325094</v>
      </c>
      <c r="E44">
        <f t="shared" si="3"/>
        <v>0.81255370102266822</v>
      </c>
      <c r="F44">
        <f t="shared" si="4"/>
        <v>55</v>
      </c>
    </row>
    <row r="45" spans="2:10" x14ac:dyDescent="0.25">
      <c r="B45">
        <v>50</v>
      </c>
      <c r="C45">
        <f t="shared" si="5"/>
        <v>100</v>
      </c>
      <c r="D45">
        <f t="shared" si="2"/>
        <v>74.456617358158098</v>
      </c>
      <c r="E45">
        <f t="shared" si="3"/>
        <v>37.228308679079049</v>
      </c>
      <c r="F45">
        <f t="shared" si="4"/>
        <v>50</v>
      </c>
      <c r="J45" s="1"/>
    </row>
    <row r="46" spans="2:10" x14ac:dyDescent="0.25">
      <c r="B46">
        <v>45</v>
      </c>
      <c r="C46">
        <f t="shared" si="5"/>
        <v>111.11111111111111</v>
      </c>
      <c r="D46">
        <f t="shared" si="2"/>
        <v>1.4922932984805659</v>
      </c>
      <c r="E46">
        <f t="shared" si="3"/>
        <v>0.60437878588462923</v>
      </c>
      <c r="F46">
        <f t="shared" si="4"/>
        <v>45</v>
      </c>
    </row>
    <row r="47" spans="2:10" x14ac:dyDescent="0.25">
      <c r="B47">
        <v>40</v>
      </c>
      <c r="C47">
        <f t="shared" si="5"/>
        <v>125</v>
      </c>
      <c r="D47">
        <f t="shared" si="2"/>
        <v>83.763694527927868</v>
      </c>
      <c r="E47">
        <f t="shared" si="3"/>
        <v>26.804382248936918</v>
      </c>
      <c r="F47">
        <f t="shared" si="4"/>
        <v>40</v>
      </c>
    </row>
    <row r="48" spans="2:10" x14ac:dyDescent="0.25">
      <c r="B48">
        <v>35</v>
      </c>
      <c r="C48">
        <f t="shared" si="5"/>
        <v>142.85714285714286</v>
      </c>
      <c r="D48">
        <f t="shared" si="2"/>
        <v>1.7054780554063609</v>
      </c>
      <c r="E48">
        <f t="shared" si="3"/>
        <v>0.41784212357455841</v>
      </c>
      <c r="F48">
        <f t="shared" si="4"/>
        <v>35</v>
      </c>
    </row>
    <row r="49" spans="2:6" x14ac:dyDescent="0.25">
      <c r="B49">
        <v>30</v>
      </c>
      <c r="C49">
        <f t="shared" si="5"/>
        <v>166.66666666666666</v>
      </c>
      <c r="D49">
        <f t="shared" si="2"/>
        <v>97.724310282582508</v>
      </c>
      <c r="E49">
        <f t="shared" si="3"/>
        <v>17.590375850864852</v>
      </c>
      <c r="F49">
        <f t="shared" si="4"/>
        <v>30</v>
      </c>
    </row>
    <row r="50" spans="2:6" x14ac:dyDescent="0.25">
      <c r="B50">
        <v>25</v>
      </c>
      <c r="C50">
        <f t="shared" si="5"/>
        <v>200</v>
      </c>
      <c r="D50">
        <f t="shared" si="2"/>
        <v>2.0465736664876335</v>
      </c>
      <c r="E50">
        <f t="shared" si="3"/>
        <v>0.25582170831095419</v>
      </c>
      <c r="F50">
        <f t="shared" si="4"/>
        <v>24.999999999999996</v>
      </c>
    </row>
    <row r="51" spans="2:6" x14ac:dyDescent="0.25">
      <c r="B51">
        <v>20</v>
      </c>
      <c r="C51">
        <f t="shared" si="5"/>
        <v>250</v>
      </c>
      <c r="D51">
        <f t="shared" si="2"/>
        <v>122.15538785322812</v>
      </c>
      <c r="E51">
        <f t="shared" si="3"/>
        <v>9.7724310282582501</v>
      </c>
      <c r="F51">
        <f t="shared" si="4"/>
        <v>20</v>
      </c>
    </row>
    <row r="52" spans="2:6" x14ac:dyDescent="0.25">
      <c r="B52">
        <v>15</v>
      </c>
      <c r="C52">
        <f t="shared" si="5"/>
        <v>333.33333333333331</v>
      </c>
      <c r="D52">
        <f t="shared" si="2"/>
        <v>2.7287648886501779</v>
      </c>
      <c r="E52">
        <f t="shared" si="3"/>
        <v>0.12279441998925801</v>
      </c>
      <c r="F52">
        <f t="shared" si="4"/>
        <v>15</v>
      </c>
    </row>
    <row r="53" spans="2:6" x14ac:dyDescent="0.25">
      <c r="B53">
        <v>10</v>
      </c>
      <c r="C53">
        <f t="shared" si="5"/>
        <v>500</v>
      </c>
      <c r="D53">
        <f t="shared" si="2"/>
        <v>183.23308177984219</v>
      </c>
      <c r="E53">
        <f t="shared" si="3"/>
        <v>3.6646616355968438</v>
      </c>
      <c r="F53">
        <f t="shared" si="4"/>
        <v>10</v>
      </c>
    </row>
    <row r="54" spans="2:6" x14ac:dyDescent="0.25">
      <c r="B54">
        <v>9</v>
      </c>
      <c r="C54">
        <f t="shared" si="5"/>
        <v>555.55555555555554</v>
      </c>
      <c r="D54">
        <f t="shared" si="2"/>
        <v>3.0319609873890863</v>
      </c>
      <c r="E54">
        <f t="shared" si="3"/>
        <v>4.91177679957032E-2</v>
      </c>
      <c r="F54">
        <f t="shared" si="4"/>
        <v>9</v>
      </c>
    </row>
    <row r="55" spans="2:6" x14ac:dyDescent="0.25">
      <c r="B55">
        <v>8</v>
      </c>
      <c r="C55">
        <f t="shared" si="5"/>
        <v>625</v>
      </c>
      <c r="D55">
        <f t="shared" si="2"/>
        <v>206.13721700232247</v>
      </c>
      <c r="E55">
        <f t="shared" si="3"/>
        <v>2.6385563776297278</v>
      </c>
      <c r="F55">
        <f t="shared" si="4"/>
        <v>8</v>
      </c>
    </row>
    <row r="56" spans="2:6" x14ac:dyDescent="0.25">
      <c r="B56">
        <v>7</v>
      </c>
      <c r="C56">
        <f t="shared" si="5"/>
        <v>714.28571428571433</v>
      </c>
      <c r="D56">
        <f t="shared" si="2"/>
        <v>3.4650982713018128</v>
      </c>
      <c r="E56">
        <f t="shared" si="3"/>
        <v>3.3957963058757763E-2</v>
      </c>
      <c r="F56">
        <f t="shared" si="4"/>
        <v>7.0000000000000009</v>
      </c>
    </row>
    <row r="57" spans="2:6" x14ac:dyDescent="0.25">
      <c r="B57">
        <v>6</v>
      </c>
      <c r="C57">
        <f t="shared" si="5"/>
        <v>833.33333333333337</v>
      </c>
      <c r="D57">
        <f t="shared" si="2"/>
        <v>240.49341983604288</v>
      </c>
      <c r="E57">
        <f t="shared" si="3"/>
        <v>1.7315526228195088</v>
      </c>
      <c r="F57">
        <f t="shared" si="4"/>
        <v>6.0000000000000009</v>
      </c>
    </row>
    <row r="58" spans="2:6" x14ac:dyDescent="0.25">
      <c r="B58">
        <v>5</v>
      </c>
      <c r="C58">
        <f t="shared" si="5"/>
        <v>1000</v>
      </c>
      <c r="D58">
        <f t="shared" si="2"/>
        <v>4.1581179255621761</v>
      </c>
      <c r="E58">
        <f t="shared" si="3"/>
        <v>2.0790589627810878E-2</v>
      </c>
      <c r="F58">
        <f t="shared" si="4"/>
        <v>4.9999999999999991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Erys</dc:creator>
  <cp:lastModifiedBy>Gerrit Buter</cp:lastModifiedBy>
  <dcterms:created xsi:type="dcterms:W3CDTF">2015-06-05T18:17:20Z</dcterms:created>
  <dcterms:modified xsi:type="dcterms:W3CDTF">2025-01-19T00:28:15Z</dcterms:modified>
</cp:coreProperties>
</file>