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9378d0b12923ecc/Documents/Nwu/Modules/Project/ADL/"/>
    </mc:Choice>
  </mc:AlternateContent>
  <xr:revisionPtr revIDLastSave="629" documentId="11_F25DC773A252ABDACC1048B791994DDE5ADE58EF" xr6:coauthVersionLast="47" xr6:coauthVersionMax="47" xr10:uidLastSave="{8E997911-C4E8-48E9-9482-B5F2F8F992A5}"/>
  <bookViews>
    <workbookView minimized="1" xWindow="-105" yWindow="2355" windowWidth="1173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L18" i="1" s="1"/>
  <c r="M18" i="1" s="1"/>
  <c r="L17" i="1"/>
  <c r="M17" i="1" s="1"/>
  <c r="P14" i="1"/>
  <c r="B4" i="1"/>
  <c r="B13" i="1" s="1"/>
  <c r="C13" i="1" s="1"/>
  <c r="B5" i="1"/>
  <c r="C14" i="1" s="1"/>
  <c r="K5" i="1"/>
  <c r="J5" i="1"/>
  <c r="P5" i="1"/>
  <c r="P6" i="1"/>
  <c r="P8" i="1"/>
  <c r="P7" i="1"/>
  <c r="Q6" i="1"/>
  <c r="Q7" i="1"/>
  <c r="Q8" i="1"/>
  <c r="Q5" i="1"/>
  <c r="I6" i="1"/>
  <c r="I7" i="1" s="1"/>
  <c r="J7" i="1" s="1"/>
  <c r="E4" i="1"/>
  <c r="J19" i="1" l="1"/>
  <c r="L19" i="1" s="1"/>
  <c r="M19" i="1" s="1"/>
  <c r="K7" i="1"/>
  <c r="K6" i="1"/>
  <c r="J6" i="1"/>
  <c r="I8" i="1"/>
  <c r="D13" i="1"/>
  <c r="J20" i="1" l="1"/>
  <c r="J21" i="1" s="1"/>
  <c r="J8" i="1"/>
  <c r="K8" i="1"/>
  <c r="L20" i="1" l="1"/>
  <c r="M20" i="1" s="1"/>
  <c r="J22" i="1"/>
  <c r="L21" i="1"/>
  <c r="M21" i="1" s="1"/>
  <c r="L22" i="1" l="1"/>
  <c r="M22" i="1" s="1"/>
  <c r="J23" i="1"/>
  <c r="J24" i="1" l="1"/>
  <c r="L23" i="1"/>
  <c r="M23" i="1" s="1"/>
  <c r="J25" i="1" l="1"/>
  <c r="L24" i="1"/>
  <c r="M24" i="1" s="1"/>
  <c r="L25" i="1" l="1"/>
  <c r="M25" i="1" s="1"/>
  <c r="J26" i="1"/>
  <c r="J27" i="1" l="1"/>
  <c r="L26" i="1"/>
  <c r="M26" i="1" s="1"/>
  <c r="J28" i="1" l="1"/>
  <c r="L27" i="1"/>
  <c r="M27" i="1" s="1"/>
  <c r="L28" i="1" l="1"/>
  <c r="M28" i="1" s="1"/>
  <c r="J29" i="1"/>
  <c r="L29" i="1" l="1"/>
  <c r="M29" i="1" s="1"/>
  <c r="J30" i="1"/>
  <c r="J31" i="1" l="1"/>
  <c r="L30" i="1"/>
  <c r="M30" i="1" s="1"/>
  <c r="L31" i="1" l="1"/>
  <c r="M31" i="1" s="1"/>
  <c r="J32" i="1"/>
  <c r="L32" i="1" l="1"/>
  <c r="M32" i="1" s="1"/>
  <c r="J33" i="1"/>
  <c r="J34" i="1" l="1"/>
  <c r="L33" i="1"/>
  <c r="M33" i="1" s="1"/>
  <c r="L34" i="1" l="1"/>
  <c r="M34" i="1" s="1"/>
  <c r="J35" i="1"/>
  <c r="L35" i="1" l="1"/>
  <c r="M35" i="1" s="1"/>
  <c r="J36" i="1"/>
  <c r="J37" i="1" l="1"/>
  <c r="L36" i="1"/>
  <c r="M36" i="1" s="1"/>
  <c r="L37" i="1" l="1"/>
  <c r="M37" i="1" s="1"/>
  <c r="J38" i="1"/>
  <c r="J39" i="1" l="1"/>
  <c r="L38" i="1"/>
  <c r="M38" i="1" s="1"/>
  <c r="J40" i="1" l="1"/>
  <c r="L39" i="1"/>
  <c r="M39" i="1" s="1"/>
  <c r="J41" i="1" l="1"/>
  <c r="L40" i="1"/>
  <c r="M40" i="1" s="1"/>
  <c r="L41" i="1" l="1"/>
  <c r="M41" i="1" s="1"/>
  <c r="J42" i="1"/>
  <c r="L42" i="1" l="1"/>
  <c r="M42" i="1" s="1"/>
  <c r="J43" i="1"/>
  <c r="L43" i="1" l="1"/>
  <c r="M43" i="1" s="1"/>
  <c r="J44" i="1"/>
  <c r="J45" i="1" l="1"/>
  <c r="L44" i="1"/>
  <c r="M44" i="1" s="1"/>
  <c r="J46" i="1" l="1"/>
  <c r="L45" i="1"/>
  <c r="M45" i="1" s="1"/>
  <c r="J47" i="1" l="1"/>
  <c r="L46" i="1"/>
  <c r="M46" i="1" s="1"/>
  <c r="J48" i="1" l="1"/>
  <c r="L47" i="1"/>
  <c r="M47" i="1" s="1"/>
  <c r="J49" i="1" l="1"/>
  <c r="L48" i="1"/>
  <c r="M48" i="1" s="1"/>
  <c r="J50" i="1" l="1"/>
  <c r="L49" i="1"/>
  <c r="M49" i="1" s="1"/>
  <c r="L50" i="1" l="1"/>
  <c r="M50" i="1" s="1"/>
  <c r="J51" i="1"/>
  <c r="J52" i="1" l="1"/>
  <c r="L51" i="1"/>
  <c r="M51" i="1" s="1"/>
  <c r="L52" i="1" l="1"/>
  <c r="M52" i="1" s="1"/>
  <c r="J53" i="1"/>
  <c r="L53" i="1" l="1"/>
  <c r="M53" i="1" s="1"/>
  <c r="J54" i="1"/>
  <c r="L54" i="1" l="1"/>
  <c r="M54" i="1" s="1"/>
  <c r="J55" i="1"/>
  <c r="J56" i="1" l="1"/>
  <c r="L55" i="1"/>
  <c r="M55" i="1" s="1"/>
  <c r="J57" i="1" l="1"/>
  <c r="L56" i="1"/>
  <c r="M56" i="1" s="1"/>
  <c r="J58" i="1" l="1"/>
  <c r="L57" i="1"/>
  <c r="M57" i="1" s="1"/>
  <c r="J59" i="1" l="1"/>
  <c r="L58" i="1"/>
  <c r="M58" i="1" s="1"/>
  <c r="L59" i="1" l="1"/>
  <c r="M59" i="1" s="1"/>
  <c r="J60" i="1"/>
  <c r="L60" i="1" l="1"/>
  <c r="M60" i="1" s="1"/>
  <c r="J61" i="1"/>
  <c r="L61" i="1" l="1"/>
  <c r="M61" i="1" s="1"/>
  <c r="J62" i="1"/>
  <c r="L62" i="1" l="1"/>
  <c r="M62" i="1" s="1"/>
  <c r="J63" i="1"/>
  <c r="L63" i="1" l="1"/>
  <c r="M63" i="1" s="1"/>
  <c r="J64" i="1"/>
  <c r="J65" i="1" l="1"/>
  <c r="L64" i="1"/>
  <c r="M64" i="1" s="1"/>
  <c r="L65" i="1" l="1"/>
  <c r="M65" i="1" s="1"/>
  <c r="J66" i="1"/>
  <c r="N17" i="1" l="1"/>
  <c r="L66" i="1"/>
  <c r="M66" i="1" s="1"/>
  <c r="N18" i="1" l="1"/>
  <c r="P17" i="1"/>
  <c r="Q17" i="1" s="1"/>
  <c r="N19" i="1" l="1"/>
  <c r="P18" i="1"/>
  <c r="Q18" i="1" s="1"/>
  <c r="P19" i="1" l="1"/>
  <c r="Q19" i="1" s="1"/>
  <c r="N20" i="1"/>
  <c r="P20" i="1" l="1"/>
  <c r="Q20" i="1" s="1"/>
  <c r="N21" i="1"/>
  <c r="P21" i="1" l="1"/>
  <c r="Q21" i="1" s="1"/>
  <c r="N22" i="1"/>
  <c r="N23" i="1" l="1"/>
  <c r="P22" i="1"/>
  <c r="Q22" i="1" s="1"/>
  <c r="N24" i="1" l="1"/>
  <c r="P23" i="1"/>
  <c r="Q23" i="1" s="1"/>
  <c r="N25" i="1" l="1"/>
  <c r="P24" i="1"/>
  <c r="Q24" i="1" s="1"/>
  <c r="P25" i="1" l="1"/>
  <c r="Q25" i="1" s="1"/>
  <c r="N26" i="1"/>
  <c r="N27" i="1" l="1"/>
  <c r="P26" i="1"/>
  <c r="Q26" i="1" s="1"/>
  <c r="N28" i="1" l="1"/>
  <c r="P27" i="1"/>
  <c r="Q27" i="1" s="1"/>
  <c r="P28" i="1" l="1"/>
  <c r="Q28" i="1" s="1"/>
  <c r="N29" i="1"/>
  <c r="N30" i="1" l="1"/>
  <c r="P29" i="1"/>
  <c r="Q29" i="1" s="1"/>
  <c r="N31" i="1" l="1"/>
  <c r="P30" i="1"/>
  <c r="Q30" i="1" s="1"/>
  <c r="P31" i="1" l="1"/>
  <c r="Q31" i="1" s="1"/>
  <c r="N32" i="1"/>
  <c r="P32" i="1" l="1"/>
  <c r="Q32" i="1" s="1"/>
  <c r="N33" i="1"/>
  <c r="N34" i="1" l="1"/>
  <c r="P33" i="1"/>
  <c r="Q33" i="1" s="1"/>
  <c r="P34" i="1" l="1"/>
  <c r="Q34" i="1" s="1"/>
  <c r="N35" i="1"/>
  <c r="P35" i="1" l="1"/>
  <c r="Q35" i="1" s="1"/>
  <c r="N36" i="1"/>
  <c r="N37" i="1" l="1"/>
  <c r="P36" i="1"/>
  <c r="Q36" i="1" s="1"/>
  <c r="N38" i="1" l="1"/>
  <c r="P37" i="1"/>
  <c r="Q37" i="1" s="1"/>
  <c r="N39" i="1" l="1"/>
  <c r="P38" i="1"/>
  <c r="Q38" i="1" s="1"/>
  <c r="P39" i="1" l="1"/>
  <c r="Q39" i="1" s="1"/>
  <c r="N40" i="1"/>
  <c r="P40" i="1" l="1"/>
  <c r="Q40" i="1" s="1"/>
  <c r="N41" i="1"/>
  <c r="N42" i="1" l="1"/>
  <c r="P41" i="1"/>
  <c r="Q41" i="1" s="1"/>
  <c r="P42" i="1" l="1"/>
  <c r="Q42" i="1" s="1"/>
  <c r="N43" i="1"/>
  <c r="N44" i="1" l="1"/>
  <c r="P43" i="1"/>
  <c r="Q43" i="1" s="1"/>
  <c r="P44" i="1" l="1"/>
  <c r="Q44" i="1" s="1"/>
  <c r="N45" i="1"/>
  <c r="P45" i="1" l="1"/>
  <c r="Q45" i="1" s="1"/>
  <c r="N46" i="1"/>
  <c r="N47" i="1" l="1"/>
  <c r="P46" i="1"/>
  <c r="Q46" i="1" s="1"/>
  <c r="N48" i="1" l="1"/>
  <c r="P47" i="1"/>
  <c r="Q47" i="1" s="1"/>
  <c r="N49" i="1" l="1"/>
  <c r="P48" i="1"/>
  <c r="Q48" i="1" s="1"/>
  <c r="N50" i="1" l="1"/>
  <c r="P49" i="1"/>
  <c r="Q49" i="1" s="1"/>
  <c r="N51" i="1" l="1"/>
  <c r="P50" i="1"/>
  <c r="Q50" i="1" s="1"/>
  <c r="P51" i="1" l="1"/>
  <c r="Q51" i="1" s="1"/>
  <c r="N52" i="1"/>
  <c r="P52" i="1" l="1"/>
  <c r="Q52" i="1" s="1"/>
  <c r="N53" i="1"/>
  <c r="N54" i="1" l="1"/>
  <c r="P53" i="1"/>
  <c r="Q53" i="1" s="1"/>
  <c r="N55" i="1" l="1"/>
  <c r="P54" i="1"/>
  <c r="Q54" i="1" s="1"/>
  <c r="N56" i="1" l="1"/>
  <c r="P55" i="1"/>
  <c r="Q55" i="1" s="1"/>
  <c r="N57" i="1" l="1"/>
  <c r="P56" i="1"/>
  <c r="Q56" i="1" s="1"/>
  <c r="N58" i="1" l="1"/>
  <c r="P57" i="1"/>
  <c r="Q57" i="1" s="1"/>
  <c r="N59" i="1" l="1"/>
  <c r="P58" i="1"/>
  <c r="Q58" i="1" s="1"/>
  <c r="P59" i="1" l="1"/>
  <c r="Q59" i="1" s="1"/>
  <c r="N60" i="1"/>
  <c r="N61" i="1" l="1"/>
  <c r="P60" i="1"/>
  <c r="Q60" i="1" s="1"/>
  <c r="N62" i="1" l="1"/>
  <c r="P61" i="1"/>
  <c r="Q61" i="1" s="1"/>
  <c r="N63" i="1" l="1"/>
  <c r="P62" i="1"/>
  <c r="Q62" i="1" s="1"/>
  <c r="P63" i="1" l="1"/>
  <c r="Q63" i="1" s="1"/>
  <c r="N64" i="1"/>
  <c r="P64" i="1" l="1"/>
  <c r="Q64" i="1" s="1"/>
  <c r="N65" i="1"/>
  <c r="N66" i="1" l="1"/>
  <c r="P65" i="1"/>
  <c r="Q65" i="1" s="1"/>
  <c r="R17" i="1" l="1"/>
  <c r="P66" i="1"/>
  <c r="Q66" i="1" s="1"/>
  <c r="R18" i="1" l="1"/>
  <c r="T17" i="1"/>
  <c r="U17" i="1" s="1"/>
  <c r="R19" i="1" l="1"/>
  <c r="T18" i="1"/>
  <c r="U18" i="1" s="1"/>
  <c r="R20" i="1" l="1"/>
  <c r="T19" i="1"/>
  <c r="U19" i="1" s="1"/>
  <c r="T20" i="1" l="1"/>
  <c r="U20" i="1" s="1"/>
  <c r="R21" i="1"/>
  <c r="T21" i="1" l="1"/>
  <c r="U21" i="1" s="1"/>
  <c r="R22" i="1"/>
  <c r="R23" i="1" l="1"/>
  <c r="T22" i="1"/>
  <c r="U22" i="1" s="1"/>
  <c r="R24" i="1" l="1"/>
  <c r="T23" i="1"/>
  <c r="U23" i="1" s="1"/>
  <c r="R25" i="1" l="1"/>
  <c r="T24" i="1"/>
  <c r="U24" i="1" s="1"/>
  <c r="T25" i="1" l="1"/>
  <c r="U25" i="1" s="1"/>
  <c r="R26" i="1"/>
  <c r="T26" i="1" l="1"/>
  <c r="U26" i="1" s="1"/>
  <c r="R27" i="1"/>
  <c r="R28" i="1" l="1"/>
  <c r="T27" i="1"/>
  <c r="U27" i="1" s="1"/>
  <c r="R29" i="1" l="1"/>
  <c r="T28" i="1"/>
  <c r="U28" i="1" s="1"/>
  <c r="R30" i="1" l="1"/>
  <c r="T29" i="1"/>
  <c r="U29" i="1" s="1"/>
  <c r="R31" i="1" l="1"/>
  <c r="T30" i="1"/>
  <c r="U30" i="1" s="1"/>
  <c r="R32" i="1" l="1"/>
  <c r="T31" i="1"/>
  <c r="U31" i="1" s="1"/>
  <c r="T32" i="1" l="1"/>
  <c r="U32" i="1" s="1"/>
  <c r="R33" i="1"/>
  <c r="R34" i="1" l="1"/>
  <c r="T33" i="1"/>
  <c r="U33" i="1" s="1"/>
  <c r="R35" i="1" l="1"/>
  <c r="T34" i="1"/>
  <c r="U34" i="1" s="1"/>
  <c r="R36" i="1" l="1"/>
  <c r="T35" i="1"/>
  <c r="U35" i="1" s="1"/>
  <c r="R37" i="1" l="1"/>
  <c r="T36" i="1"/>
  <c r="U36" i="1" s="1"/>
  <c r="T37" i="1" l="1"/>
  <c r="U37" i="1" s="1"/>
  <c r="R38" i="1"/>
  <c r="T38" i="1" l="1"/>
  <c r="U38" i="1" s="1"/>
  <c r="R39" i="1"/>
  <c r="R40" i="1" l="1"/>
  <c r="T39" i="1"/>
  <c r="U39" i="1" s="1"/>
  <c r="R41" i="1" l="1"/>
  <c r="T40" i="1"/>
  <c r="U40" i="1" s="1"/>
  <c r="R42" i="1" l="1"/>
  <c r="T41" i="1"/>
  <c r="U41" i="1" s="1"/>
  <c r="R43" i="1" l="1"/>
  <c r="T42" i="1"/>
  <c r="U42" i="1" s="1"/>
  <c r="T43" i="1" l="1"/>
  <c r="U43" i="1" s="1"/>
  <c r="R44" i="1"/>
  <c r="T44" i="1" l="1"/>
  <c r="U44" i="1" s="1"/>
  <c r="R45" i="1"/>
  <c r="R46" i="1" l="1"/>
  <c r="T45" i="1"/>
  <c r="U45" i="1" s="1"/>
  <c r="R47" i="1" l="1"/>
  <c r="T46" i="1"/>
  <c r="U46" i="1" s="1"/>
  <c r="R48" i="1" l="1"/>
  <c r="T47" i="1"/>
  <c r="U47" i="1" s="1"/>
  <c r="R49" i="1" l="1"/>
  <c r="T48" i="1"/>
  <c r="U48" i="1" s="1"/>
  <c r="T49" i="1" l="1"/>
  <c r="U49" i="1" s="1"/>
  <c r="R50" i="1"/>
  <c r="R51" i="1" l="1"/>
  <c r="T50" i="1"/>
  <c r="U50" i="1" s="1"/>
  <c r="R52" i="1" l="1"/>
  <c r="T51" i="1"/>
  <c r="U51" i="1" s="1"/>
  <c r="R53" i="1" l="1"/>
  <c r="T52" i="1"/>
  <c r="U52" i="1" s="1"/>
  <c r="T53" i="1" l="1"/>
  <c r="U53" i="1" s="1"/>
  <c r="R54" i="1"/>
  <c r="T54" i="1" l="1"/>
  <c r="U54" i="1" s="1"/>
  <c r="R55" i="1"/>
  <c r="R56" i="1" l="1"/>
  <c r="T55" i="1"/>
  <c r="U55" i="1" s="1"/>
  <c r="R57" i="1" l="1"/>
  <c r="T56" i="1"/>
  <c r="U56" i="1" s="1"/>
  <c r="T57" i="1" l="1"/>
  <c r="U57" i="1" s="1"/>
  <c r="R58" i="1"/>
  <c r="R59" i="1" l="1"/>
  <c r="T58" i="1"/>
  <c r="U58" i="1" s="1"/>
  <c r="R60" i="1" l="1"/>
  <c r="T59" i="1"/>
  <c r="U59" i="1" s="1"/>
  <c r="R61" i="1" l="1"/>
  <c r="T60" i="1"/>
  <c r="U60" i="1" s="1"/>
  <c r="T61" i="1" l="1"/>
  <c r="U61" i="1" s="1"/>
  <c r="R62" i="1"/>
  <c r="T62" i="1" l="1"/>
  <c r="U62" i="1" s="1"/>
  <c r="R63" i="1"/>
  <c r="T63" i="1" l="1"/>
  <c r="U63" i="1" s="1"/>
  <c r="R64" i="1"/>
  <c r="R65" i="1" l="1"/>
  <c r="T64" i="1"/>
  <c r="U64" i="1" s="1"/>
  <c r="T65" i="1" l="1"/>
  <c r="U65" i="1" s="1"/>
  <c r="R66" i="1"/>
  <c r="T66" i="1" l="1"/>
  <c r="U66" i="1" s="1"/>
  <c r="V17" i="1"/>
  <c r="X17" i="1" l="1"/>
  <c r="Y17" i="1" s="1"/>
  <c r="V18" i="1"/>
  <c r="V19" i="1" l="1"/>
  <c r="X18" i="1"/>
  <c r="Y18" i="1" s="1"/>
  <c r="V20" i="1" l="1"/>
  <c r="X19" i="1"/>
  <c r="Y19" i="1" s="1"/>
  <c r="V21" i="1" l="1"/>
  <c r="X20" i="1"/>
  <c r="Y20" i="1" s="1"/>
  <c r="V22" i="1" l="1"/>
  <c r="X21" i="1"/>
  <c r="Y21" i="1" s="1"/>
  <c r="V23" i="1" l="1"/>
  <c r="X22" i="1"/>
  <c r="Y22" i="1" s="1"/>
  <c r="V24" i="1" l="1"/>
  <c r="X23" i="1"/>
  <c r="Y23" i="1" s="1"/>
  <c r="V25" i="1" l="1"/>
  <c r="X24" i="1"/>
  <c r="Y24" i="1" s="1"/>
  <c r="V26" i="1" l="1"/>
  <c r="X25" i="1"/>
  <c r="Y25" i="1" s="1"/>
  <c r="X26" i="1" l="1"/>
  <c r="Y26" i="1" s="1"/>
  <c r="V27" i="1"/>
  <c r="X27" i="1" l="1"/>
  <c r="Y27" i="1" s="1"/>
  <c r="V28" i="1"/>
  <c r="X28" i="1" l="1"/>
  <c r="Y28" i="1" s="1"/>
  <c r="V29" i="1"/>
  <c r="X29" i="1" l="1"/>
  <c r="Y29" i="1" s="1"/>
  <c r="V30" i="1"/>
  <c r="X30" i="1" l="1"/>
  <c r="Y30" i="1" s="1"/>
  <c r="V31" i="1"/>
  <c r="V32" i="1" l="1"/>
  <c r="X31" i="1"/>
  <c r="Y31" i="1" s="1"/>
  <c r="V33" i="1" l="1"/>
  <c r="X32" i="1"/>
  <c r="Y32" i="1" s="1"/>
  <c r="X33" i="1" l="1"/>
  <c r="Y33" i="1" s="1"/>
  <c r="V34" i="1"/>
  <c r="V35" i="1" l="1"/>
  <c r="X34" i="1"/>
  <c r="Y34" i="1" s="1"/>
  <c r="X35" i="1" l="1"/>
  <c r="Y35" i="1" s="1"/>
  <c r="V36" i="1"/>
  <c r="X36" i="1" l="1"/>
  <c r="Y36" i="1" s="1"/>
  <c r="V37" i="1"/>
  <c r="X37" i="1" l="1"/>
  <c r="Y37" i="1" s="1"/>
  <c r="V38" i="1"/>
  <c r="X38" i="1" l="1"/>
  <c r="Y38" i="1" s="1"/>
  <c r="V39" i="1"/>
  <c r="V40" i="1" l="1"/>
  <c r="X39" i="1"/>
  <c r="Y39" i="1" s="1"/>
  <c r="V41" i="1" l="1"/>
  <c r="X40" i="1"/>
  <c r="Y40" i="1" s="1"/>
  <c r="X41" i="1" l="1"/>
  <c r="Y41" i="1" s="1"/>
  <c r="V42" i="1"/>
  <c r="V43" i="1" l="1"/>
  <c r="X42" i="1"/>
  <c r="Y42" i="1" s="1"/>
  <c r="V44" i="1" l="1"/>
  <c r="X43" i="1"/>
  <c r="Y43" i="1" s="1"/>
  <c r="X44" i="1" l="1"/>
  <c r="Y44" i="1" s="1"/>
  <c r="V45" i="1"/>
  <c r="V46" i="1" l="1"/>
  <c r="X45" i="1"/>
  <c r="Y45" i="1" s="1"/>
  <c r="V47" i="1" l="1"/>
  <c r="X46" i="1"/>
  <c r="Y46" i="1" s="1"/>
  <c r="V48" i="1" l="1"/>
  <c r="X47" i="1"/>
  <c r="Y47" i="1" s="1"/>
  <c r="X48" i="1" l="1"/>
  <c r="Y48" i="1" s="1"/>
  <c r="V49" i="1"/>
  <c r="V50" i="1" l="1"/>
  <c r="X49" i="1"/>
  <c r="Y49" i="1" s="1"/>
  <c r="V51" i="1" l="1"/>
  <c r="X50" i="1"/>
  <c r="Y50" i="1" s="1"/>
  <c r="V52" i="1" l="1"/>
  <c r="X51" i="1"/>
  <c r="Y51" i="1" s="1"/>
  <c r="V53" i="1" l="1"/>
  <c r="X52" i="1"/>
  <c r="Y52" i="1" s="1"/>
  <c r="V54" i="1" l="1"/>
  <c r="X53" i="1"/>
  <c r="Y53" i="1" s="1"/>
  <c r="V55" i="1" l="1"/>
  <c r="X54" i="1"/>
  <c r="Y54" i="1" s="1"/>
  <c r="V56" i="1" l="1"/>
  <c r="X55" i="1"/>
  <c r="Y55" i="1" s="1"/>
  <c r="V57" i="1" l="1"/>
  <c r="X56" i="1"/>
  <c r="Y56" i="1" s="1"/>
  <c r="V58" i="1" l="1"/>
  <c r="X57" i="1"/>
  <c r="Y57" i="1" s="1"/>
  <c r="V59" i="1" l="1"/>
  <c r="X58" i="1"/>
  <c r="Y58" i="1" s="1"/>
  <c r="X59" i="1" l="1"/>
  <c r="Y59" i="1" s="1"/>
  <c r="V60" i="1"/>
  <c r="X60" i="1" l="1"/>
  <c r="Y60" i="1" s="1"/>
  <c r="V61" i="1"/>
  <c r="V62" i="1" l="1"/>
  <c r="X61" i="1"/>
  <c r="Y61" i="1" s="1"/>
  <c r="V63" i="1" l="1"/>
  <c r="X62" i="1"/>
  <c r="Y62" i="1" s="1"/>
  <c r="V64" i="1" l="1"/>
  <c r="X63" i="1"/>
  <c r="Y63" i="1" s="1"/>
  <c r="V65" i="1" l="1"/>
  <c r="X64" i="1"/>
  <c r="Y64" i="1" s="1"/>
  <c r="X65" i="1" l="1"/>
  <c r="Y65" i="1" s="1"/>
  <c r="V66" i="1"/>
  <c r="Z17" i="1" l="1"/>
  <c r="X66" i="1"/>
  <c r="Y66" i="1" s="1"/>
  <c r="Z18" i="1" l="1"/>
  <c r="AB17" i="1"/>
  <c r="AC17" i="1" s="1"/>
  <c r="Z19" i="1" l="1"/>
  <c r="AB18" i="1"/>
  <c r="AC18" i="1" s="1"/>
  <c r="Z20" i="1" l="1"/>
  <c r="AB19" i="1"/>
  <c r="AC19" i="1" s="1"/>
  <c r="AB20" i="1" l="1"/>
  <c r="AC20" i="1" s="1"/>
  <c r="Z21" i="1"/>
  <c r="AB21" i="1" l="1"/>
  <c r="AC21" i="1" s="1"/>
  <c r="Z22" i="1"/>
  <c r="AB22" i="1" l="1"/>
  <c r="AC22" i="1" s="1"/>
  <c r="Z23" i="1"/>
  <c r="Z24" i="1" l="1"/>
  <c r="AB23" i="1"/>
  <c r="AC23" i="1" s="1"/>
  <c r="Z25" i="1" l="1"/>
  <c r="AB24" i="1"/>
  <c r="AC24" i="1" s="1"/>
  <c r="Z26" i="1" l="1"/>
  <c r="AB25" i="1"/>
  <c r="AC25" i="1" s="1"/>
  <c r="Z27" i="1" l="1"/>
  <c r="AB26" i="1"/>
  <c r="AC26" i="1" s="1"/>
  <c r="AB27" i="1" l="1"/>
  <c r="AC27" i="1" s="1"/>
  <c r="Z28" i="1"/>
  <c r="Z29" i="1" l="1"/>
  <c r="AB28" i="1"/>
  <c r="AC28" i="1" s="1"/>
  <c r="AB29" i="1" l="1"/>
  <c r="AC29" i="1" s="1"/>
  <c r="Z30" i="1"/>
  <c r="Z31" i="1" l="1"/>
  <c r="AB30" i="1"/>
  <c r="AC30" i="1" s="1"/>
  <c r="Z32" i="1" l="1"/>
  <c r="AB31" i="1"/>
  <c r="AC31" i="1" s="1"/>
  <c r="Z33" i="1" l="1"/>
  <c r="AB32" i="1"/>
  <c r="AC32" i="1" s="1"/>
  <c r="AB33" i="1" l="1"/>
  <c r="AC33" i="1" s="1"/>
  <c r="Z34" i="1"/>
  <c r="AB34" i="1" l="1"/>
  <c r="AC34" i="1" s="1"/>
  <c r="Z35" i="1"/>
  <c r="Z36" i="1" l="1"/>
  <c r="AB35" i="1"/>
  <c r="AC35" i="1" s="1"/>
  <c r="Z37" i="1" l="1"/>
  <c r="AB36" i="1"/>
  <c r="AC36" i="1" s="1"/>
  <c r="Z38" i="1" l="1"/>
  <c r="AB37" i="1"/>
  <c r="AC37" i="1" s="1"/>
  <c r="AB38" i="1" l="1"/>
  <c r="AC38" i="1" s="1"/>
  <c r="Z39" i="1"/>
  <c r="Z40" i="1" l="1"/>
  <c r="AB39" i="1"/>
  <c r="AC39" i="1" s="1"/>
  <c r="AB40" i="1" l="1"/>
  <c r="AC40" i="1" s="1"/>
  <c r="Z41" i="1"/>
  <c r="AB41" i="1" l="1"/>
  <c r="AC41" i="1" s="1"/>
  <c r="Z42" i="1"/>
  <c r="Z43" i="1" l="1"/>
  <c r="AB42" i="1"/>
  <c r="AC42" i="1" s="1"/>
  <c r="AB43" i="1" l="1"/>
  <c r="AC43" i="1" s="1"/>
  <c r="Z44" i="1"/>
  <c r="Z45" i="1" l="1"/>
  <c r="AB44" i="1"/>
  <c r="AC44" i="1" s="1"/>
  <c r="AB45" i="1" l="1"/>
  <c r="AC45" i="1" s="1"/>
  <c r="Z46" i="1"/>
  <c r="AB46" i="1" l="1"/>
  <c r="AC46" i="1" s="1"/>
  <c r="Z47" i="1"/>
  <c r="Z48" i="1" l="1"/>
  <c r="AB47" i="1"/>
  <c r="AC47" i="1" s="1"/>
  <c r="AB48" i="1" l="1"/>
  <c r="AC48" i="1" s="1"/>
  <c r="Z49" i="1"/>
  <c r="Z50" i="1" l="1"/>
  <c r="AB49" i="1"/>
  <c r="AC49" i="1" s="1"/>
  <c r="Z51" i="1" l="1"/>
  <c r="AB50" i="1"/>
  <c r="AC50" i="1" s="1"/>
  <c r="Z52" i="1" l="1"/>
  <c r="AB51" i="1"/>
  <c r="AC51" i="1" s="1"/>
  <c r="AB52" i="1" l="1"/>
  <c r="AC52" i="1" s="1"/>
  <c r="Z53" i="1"/>
  <c r="Z54" i="1" l="1"/>
  <c r="AB53" i="1"/>
  <c r="AC53" i="1" s="1"/>
  <c r="Z55" i="1" l="1"/>
  <c r="AB54" i="1"/>
  <c r="AC54" i="1" s="1"/>
  <c r="Z56" i="1" l="1"/>
  <c r="AB55" i="1"/>
  <c r="AC55" i="1" s="1"/>
  <c r="AB56" i="1" l="1"/>
  <c r="AC56" i="1" s="1"/>
  <c r="Z57" i="1"/>
  <c r="Z58" i="1" l="1"/>
  <c r="AB57" i="1"/>
  <c r="AC57" i="1" s="1"/>
  <c r="AB58" i="1" l="1"/>
  <c r="AC58" i="1" s="1"/>
  <c r="Z59" i="1"/>
  <c r="Z60" i="1" l="1"/>
  <c r="AB59" i="1"/>
  <c r="AC59" i="1" s="1"/>
  <c r="Z61" i="1" l="1"/>
  <c r="AB60" i="1"/>
  <c r="AC60" i="1" s="1"/>
  <c r="Z62" i="1" l="1"/>
  <c r="AB61" i="1"/>
  <c r="AC61" i="1" s="1"/>
  <c r="AB62" i="1" l="1"/>
  <c r="AC62" i="1" s="1"/>
  <c r="Z63" i="1"/>
  <c r="Z64" i="1" l="1"/>
  <c r="AB63" i="1"/>
  <c r="AC63" i="1" s="1"/>
  <c r="Z65" i="1" l="1"/>
  <c r="AB64" i="1"/>
  <c r="AC64" i="1" s="1"/>
  <c r="Z66" i="1" l="1"/>
  <c r="AB65" i="1"/>
  <c r="AC65" i="1" s="1"/>
  <c r="Z67" i="1" l="1"/>
  <c r="AB66" i="1"/>
  <c r="AC66" i="1" s="1"/>
  <c r="Z68" i="1" l="1"/>
  <c r="AB67" i="1"/>
  <c r="AC67" i="1" s="1"/>
  <c r="Z69" i="1" l="1"/>
  <c r="AB68" i="1"/>
  <c r="AC68" i="1" s="1"/>
  <c r="AB69" i="1" l="1"/>
  <c r="AC69" i="1" s="1"/>
  <c r="Z70" i="1"/>
  <c r="AB70" i="1" l="1"/>
  <c r="AC70" i="1" s="1"/>
  <c r="Z71" i="1"/>
  <c r="Z72" i="1" l="1"/>
  <c r="AB72" i="1" s="1"/>
  <c r="AC72" i="1" s="1"/>
  <c r="AB71" i="1"/>
  <c r="AC71" i="1" s="1"/>
</calcChain>
</file>

<file path=xl/sharedStrings.xml><?xml version="1.0" encoding="utf-8"?>
<sst xmlns="http://schemas.openxmlformats.org/spreadsheetml/2006/main" count="23" uniqueCount="20">
  <si>
    <t>SysCLk (T)</t>
  </si>
  <si>
    <t xml:space="preserve">Desired </t>
  </si>
  <si>
    <t>Hz</t>
  </si>
  <si>
    <t>T</t>
  </si>
  <si>
    <t>Treg</t>
  </si>
  <si>
    <t>TPs</t>
  </si>
  <si>
    <t>Current BR</t>
  </si>
  <si>
    <t>HZ</t>
  </si>
  <si>
    <t>ERR%</t>
  </si>
  <si>
    <t>Desired</t>
  </si>
  <si>
    <t>PS</t>
  </si>
  <si>
    <t>BR</t>
  </si>
  <si>
    <t>FR1</t>
  </si>
  <si>
    <t>Fr2</t>
  </si>
  <si>
    <t>BR*PS 1</t>
  </si>
  <si>
    <t>PR * PS1</t>
  </si>
  <si>
    <t>PS1</t>
  </si>
  <si>
    <t>BR1</t>
  </si>
  <si>
    <t>Slowest possible</t>
  </si>
  <si>
    <t>all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</si>
</sst>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0000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165" fontId="0" fillId="0" borderId="0" xfId="0" applyNumberFormat="1"/>
    <xf numFmtId="2" fontId="0" fillId="0" borderId="0" xfId="0" applyNumberFormat="1"/>
    <xf numFmtId="11" fontId="0" fillId="0" borderId="0" xfId="0" applyNumberFormat="1"/>
    <xf numFmtId="164" fontId="0" fillId="0" borderId="0" xfId="1" applyFont="1"/>
    <xf numFmtId="2" fontId="2" fillId="2" borderId="0" xfId="2" applyNumberFormat="1"/>
    <xf numFmtId="2" fontId="3" fillId="3" borderId="0" xfId="3" applyNumberFormat="1"/>
    <xf numFmtId="2" fontId="0" fillId="0" borderId="0" xfId="0" applyNumberFormat="1" applyAlignment="1">
      <alignment horizontal="center"/>
    </xf>
    <xf numFmtId="167" fontId="0" fillId="0" borderId="0" xfId="0" applyNumberFormat="1"/>
    <xf numFmtId="1" fontId="0" fillId="0" borderId="0" xfId="0" applyNumberFormat="1"/>
  </cellXfs>
  <cellStyles count="4">
    <cellStyle name="Bad" xfId="3" builtinId="27"/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72"/>
  <sheetViews>
    <sheetView tabSelected="1" topLeftCell="D2" zoomScale="130" zoomScaleNormal="130" workbookViewId="0">
      <selection activeCell="P14" sqref="P14"/>
    </sheetView>
  </sheetViews>
  <sheetFormatPr defaultColWidth="9.140625" defaultRowHeight="15" x14ac:dyDescent="0.25"/>
  <cols>
    <col min="1" max="1" width="9.140625" style="2"/>
    <col min="2" max="2" width="14.28515625" style="2" bestFit="1" customWidth="1"/>
    <col min="3" max="3" width="14.7109375" style="2" bestFit="1" customWidth="1"/>
    <col min="4" max="4" width="8.85546875" style="2" customWidth="1"/>
    <col min="5" max="8" width="9.140625" style="2"/>
    <col min="9" max="9" width="16" style="2" bestFit="1" customWidth="1"/>
    <col min="10" max="10" width="13.85546875" style="2" bestFit="1" customWidth="1"/>
    <col min="11" max="11" width="13.28515625" style="2" bestFit="1" customWidth="1"/>
    <col min="12" max="12" width="11.5703125" style="2" bestFit="1" customWidth="1"/>
    <col min="13" max="13" width="20" style="2" bestFit="1" customWidth="1"/>
    <col min="14" max="15" width="9.140625" style="2"/>
    <col min="16" max="16" width="10" style="2" bestFit="1" customWidth="1"/>
    <col min="17" max="17" width="9.5703125" style="2" bestFit="1" customWidth="1"/>
    <col min="18" max="22" width="9.140625" style="2"/>
    <col min="23" max="23" width="7.7109375" style="2" bestFit="1" customWidth="1"/>
    <col min="24" max="27" width="9.140625" style="2"/>
    <col min="28" max="28" width="11.42578125" style="2" bestFit="1" customWidth="1"/>
    <col min="29" max="16384" width="9.140625" style="2"/>
  </cols>
  <sheetData>
    <row r="2" spans="2:17" x14ac:dyDescent="0.25">
      <c r="D2" s="7" t="s">
        <v>1</v>
      </c>
      <c r="E2" s="7"/>
    </row>
    <row r="3" spans="2:17" x14ac:dyDescent="0.25">
      <c r="B3" s="2" t="s">
        <v>0</v>
      </c>
      <c r="D3" s="2" t="s">
        <v>2</v>
      </c>
      <c r="E3" s="2" t="s">
        <v>3</v>
      </c>
      <c r="J3" s="4">
        <v>12000000</v>
      </c>
      <c r="K3" s="4">
        <v>1200000</v>
      </c>
    </row>
    <row r="4" spans="2:17" x14ac:dyDescent="0.25">
      <c r="B4" s="3">
        <f>1/1200000</f>
        <v>8.3333333333333333E-7</v>
      </c>
      <c r="D4" s="2">
        <v>9600</v>
      </c>
      <c r="E4" s="2">
        <f>1/D4</f>
        <v>1.0416666666666667E-4</v>
      </c>
      <c r="I4" s="2" t="s">
        <v>9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10</v>
      </c>
      <c r="O4" s="2" t="s">
        <v>11</v>
      </c>
      <c r="P4" s="2" t="s">
        <v>12</v>
      </c>
      <c r="Q4" s="2" t="s">
        <v>13</v>
      </c>
    </row>
    <row r="5" spans="2:17" x14ac:dyDescent="0.25">
      <c r="B5" s="4">
        <f>1200000</f>
        <v>1200000</v>
      </c>
      <c r="I5" s="2">
        <v>1200</v>
      </c>
      <c r="J5" s="2">
        <f>$J$3/(2*I5)</f>
        <v>5000</v>
      </c>
      <c r="K5" s="2">
        <f>$K$3/(2*I5)</f>
        <v>500</v>
      </c>
      <c r="L5" s="2">
        <v>249</v>
      </c>
      <c r="M5" s="2">
        <v>19</v>
      </c>
      <c r="N5" s="2">
        <v>24</v>
      </c>
      <c r="O5" s="2">
        <v>19</v>
      </c>
      <c r="P5" s="5">
        <f>$J$3/(2*(L5+1)*(M5+1))</f>
        <v>1200</v>
      </c>
      <c r="Q5" s="5">
        <f>$K$3/(2*(N5+1)*(O5+1))</f>
        <v>1200</v>
      </c>
    </row>
    <row r="6" spans="2:17" x14ac:dyDescent="0.25">
      <c r="I6" s="2">
        <f>I5*2</f>
        <v>2400</v>
      </c>
      <c r="J6" s="2">
        <f>$J$3/(2*I6)</f>
        <v>2500</v>
      </c>
      <c r="K6" s="2">
        <f>$K$3/(2*I6)</f>
        <v>250</v>
      </c>
      <c r="L6" s="2">
        <v>249</v>
      </c>
      <c r="M6" s="2">
        <v>9</v>
      </c>
      <c r="N6" s="2">
        <v>24</v>
      </c>
      <c r="O6" s="2">
        <v>9</v>
      </c>
      <c r="P6" s="5">
        <f>$J$3/(2*(L6+1)*(M6+1))</f>
        <v>2400</v>
      </c>
      <c r="Q6" s="5">
        <f>$K$3/(2*(N6+1)*(O6+1))</f>
        <v>2400</v>
      </c>
    </row>
    <row r="7" spans="2:17" x14ac:dyDescent="0.25">
      <c r="I7" s="2">
        <f t="shared" ref="I7:I8" si="0">I6*2</f>
        <v>4800</v>
      </c>
      <c r="J7" s="2">
        <f>$J$3/(2*I7)</f>
        <v>1250</v>
      </c>
      <c r="K7" s="2">
        <f>$K$3/(2*I7)</f>
        <v>125</v>
      </c>
      <c r="L7" s="2">
        <v>249</v>
      </c>
      <c r="M7" s="2">
        <v>4</v>
      </c>
      <c r="N7" s="2">
        <v>24</v>
      </c>
      <c r="O7" s="2">
        <v>4</v>
      </c>
      <c r="P7" s="5">
        <f>$J$3/(2*(L7+1)*(M7+1))</f>
        <v>4800</v>
      </c>
      <c r="Q7" s="5">
        <f>$K$3/(2*(N7+1)*(O7+1))</f>
        <v>4800</v>
      </c>
    </row>
    <row r="8" spans="2:17" x14ac:dyDescent="0.25">
      <c r="B8" s="2" t="s">
        <v>4</v>
      </c>
      <c r="C8">
        <v>255</v>
      </c>
      <c r="I8" s="2">
        <f t="shared" si="0"/>
        <v>9600</v>
      </c>
      <c r="J8" s="2">
        <f>$J$3/(2*I8)</f>
        <v>625</v>
      </c>
      <c r="K8" s="2">
        <f>$K$3/(2*I8)</f>
        <v>62.5</v>
      </c>
      <c r="L8" s="2">
        <v>24</v>
      </c>
      <c r="M8" s="2">
        <v>24</v>
      </c>
      <c r="N8" s="2">
        <v>8</v>
      </c>
      <c r="O8" s="2">
        <v>6</v>
      </c>
      <c r="P8" s="5">
        <f>$J$3/(2*(L8+1)*(M8+1))</f>
        <v>9600</v>
      </c>
      <c r="Q8" s="6">
        <f>$K$3/(2*(N8+1)*(O8+1))</f>
        <v>9523.8095238095229</v>
      </c>
    </row>
    <row r="9" spans="2:17" x14ac:dyDescent="0.25">
      <c r="B9" s="2" t="s">
        <v>5</v>
      </c>
      <c r="C9">
        <v>255</v>
      </c>
      <c r="P9"/>
      <c r="Q9"/>
    </row>
    <row r="10" spans="2:17" x14ac:dyDescent="0.25">
      <c r="P10"/>
      <c r="Q10"/>
    </row>
    <row r="11" spans="2:17" x14ac:dyDescent="0.25">
      <c r="B11" s="7" t="s">
        <v>6</v>
      </c>
      <c r="C11" s="7"/>
      <c r="D11" s="7"/>
      <c r="P11"/>
      <c r="Q11"/>
    </row>
    <row r="12" spans="2:17" x14ac:dyDescent="0.25">
      <c r="B12" s="2" t="s">
        <v>3</v>
      </c>
      <c r="C12" s="2" t="s">
        <v>7</v>
      </c>
      <c r="D12" s="2" t="s">
        <v>8</v>
      </c>
      <c r="P12"/>
      <c r="Q12"/>
    </row>
    <row r="13" spans="2:17" x14ac:dyDescent="0.25">
      <c r="B13" s="1">
        <f>2*B4*(C8+1)*(C9+1)</f>
        <v>0.10922666666666667</v>
      </c>
      <c r="C13" s="4">
        <f>1/B13</f>
        <v>9.1552734375</v>
      </c>
      <c r="D13" s="2">
        <f>ABS((D4-C13)/D4)*100</f>
        <v>99.904632568359375</v>
      </c>
    </row>
    <row r="14" spans="2:17" x14ac:dyDescent="0.25">
      <c r="C14" s="2">
        <f>B5/(2*(C8+1)*(C9+1))</f>
        <v>9.1552734375</v>
      </c>
      <c r="I14" s="2" t="s">
        <v>18</v>
      </c>
      <c r="L14" s="2">
        <v>249</v>
      </c>
      <c r="M14" s="2">
        <v>239</v>
      </c>
      <c r="P14" s="9">
        <f>$K$3/(2*(L14+1)*(M14+1))</f>
        <v>10</v>
      </c>
    </row>
    <row r="16" spans="2:17" x14ac:dyDescent="0.25">
      <c r="I16" s="2" t="s">
        <v>19</v>
      </c>
      <c r="J16" s="2" t="s">
        <v>10</v>
      </c>
      <c r="K16" s="2" t="s">
        <v>11</v>
      </c>
    </row>
    <row r="17" spans="10:29" x14ac:dyDescent="0.25">
      <c r="J17" s="2">
        <v>249</v>
      </c>
      <c r="K17" s="2">
        <v>255</v>
      </c>
      <c r="L17" s="8">
        <f>$K$3/(2*(J17+1)*(K17+1))</f>
        <v>9.375</v>
      </c>
      <c r="M17" t="str">
        <f>IF(L17=INT(L17), "1", "")</f>
        <v/>
      </c>
      <c r="N17" s="2">
        <f>J66</f>
        <v>249</v>
      </c>
      <c r="O17" s="2">
        <v>205</v>
      </c>
      <c r="P17" s="8">
        <f>$K$3/(2*(N17+1)*(O17+1))</f>
        <v>11.650485436893204</v>
      </c>
      <c r="Q17" t="str">
        <f>IF(P17=INT(P17), "1", "")</f>
        <v/>
      </c>
      <c r="R17" s="2">
        <f>N66</f>
        <v>249</v>
      </c>
      <c r="S17" s="2">
        <v>155</v>
      </c>
      <c r="T17" s="8">
        <f>$K$3/(2*(R17+1)*(S17+1))</f>
        <v>15.384615384615385</v>
      </c>
      <c r="U17" t="str">
        <f>IF(T17=INT(T17), "1", "")</f>
        <v/>
      </c>
      <c r="V17" s="2">
        <f>R66</f>
        <v>249</v>
      </c>
      <c r="W17" s="2">
        <v>105</v>
      </c>
      <c r="X17" s="8">
        <f>$K$3/(2*(V17+1)*(W17+1))</f>
        <v>22.641509433962263</v>
      </c>
      <c r="Y17" t="str">
        <f>IF(X17=INT(X17), "1", "")</f>
        <v/>
      </c>
      <c r="Z17" s="2">
        <f>V66</f>
        <v>249</v>
      </c>
      <c r="AA17" s="2">
        <v>55</v>
      </c>
      <c r="AB17" s="8">
        <f>$K$3/(2*(Z17+1)*(AA17+1))</f>
        <v>42.857142857142854</v>
      </c>
      <c r="AC17" t="str">
        <f>IF(AB17=INT(AB17), "1", "")</f>
        <v/>
      </c>
    </row>
    <row r="18" spans="10:29" x14ac:dyDescent="0.25">
      <c r="J18" s="2">
        <f>J17</f>
        <v>249</v>
      </c>
      <c r="K18" s="2">
        <v>254</v>
      </c>
      <c r="L18" s="8">
        <f>$K$3/(2*(J18+1)*(K18+1))</f>
        <v>9.4117647058823533</v>
      </c>
      <c r="M18" t="str">
        <f t="shared" ref="M18:M66" si="1">IF(L18=INT(L18), "1", "")</f>
        <v/>
      </c>
      <c r="N18" s="2">
        <f>N17</f>
        <v>249</v>
      </c>
      <c r="O18" s="2">
        <v>204</v>
      </c>
      <c r="P18" s="8">
        <f>$K$3/(2*(N18+1)*(O18+1))</f>
        <v>11.707317073170731</v>
      </c>
      <c r="Q18" t="str">
        <f t="shared" ref="Q18:Q66" si="2">IF(P18=INT(P18), "1", "")</f>
        <v/>
      </c>
      <c r="R18" s="2">
        <f>R17</f>
        <v>249</v>
      </c>
      <c r="S18" s="2">
        <v>154</v>
      </c>
      <c r="T18" s="8">
        <f>$K$3/(2*(R18+1)*(S18+1))</f>
        <v>15.483870967741936</v>
      </c>
      <c r="U18" t="str">
        <f t="shared" ref="U18:U66" si="3">IF(T18=INT(T18), "1", "")</f>
        <v/>
      </c>
      <c r="V18" s="2">
        <f>V17</f>
        <v>249</v>
      </c>
      <c r="W18" s="2">
        <v>104</v>
      </c>
      <c r="X18" s="8">
        <f>$K$3/(2*(V18+1)*(W18+1))</f>
        <v>22.857142857142858</v>
      </c>
      <c r="Y18" t="str">
        <f t="shared" ref="Y18:Y66" si="4">IF(X18=INT(X18), "1", "")</f>
        <v/>
      </c>
      <c r="Z18" s="2">
        <f>Z17</f>
        <v>249</v>
      </c>
      <c r="AA18" s="2">
        <v>54</v>
      </c>
      <c r="AB18" s="8">
        <f>$K$3/(2*(Z18+1)*(AA18+1))</f>
        <v>43.636363636363633</v>
      </c>
      <c r="AC18" t="str">
        <f t="shared" ref="AC18:AC72" si="5">IF(AB18=INT(AB18), "1", "")</f>
        <v/>
      </c>
    </row>
    <row r="19" spans="10:29" x14ac:dyDescent="0.25">
      <c r="J19" s="2">
        <f>J18</f>
        <v>249</v>
      </c>
      <c r="K19" s="2">
        <v>253</v>
      </c>
      <c r="L19" s="8">
        <f>$K$3/(2*(J19+1)*(K19+1))</f>
        <v>9.4488188976377945</v>
      </c>
      <c r="M19" t="str">
        <f t="shared" si="1"/>
        <v/>
      </c>
      <c r="N19" s="2">
        <f>N18</f>
        <v>249</v>
      </c>
      <c r="O19" s="2">
        <v>203</v>
      </c>
      <c r="P19" s="8">
        <f>$K$3/(2*(N19+1)*(O19+1))</f>
        <v>11.764705882352942</v>
      </c>
      <c r="Q19" t="str">
        <f t="shared" si="2"/>
        <v/>
      </c>
      <c r="R19" s="2">
        <f>R18</f>
        <v>249</v>
      </c>
      <c r="S19" s="2">
        <v>153</v>
      </c>
      <c r="T19" s="8">
        <f>$K$3/(2*(R19+1)*(S19+1))</f>
        <v>15.584415584415584</v>
      </c>
      <c r="U19" t="str">
        <f t="shared" si="3"/>
        <v/>
      </c>
      <c r="V19" s="2">
        <f>V18</f>
        <v>249</v>
      </c>
      <c r="W19" s="2">
        <v>103</v>
      </c>
      <c r="X19" s="8">
        <f>$K$3/(2*(V19+1)*(W19+1))</f>
        <v>23.076923076923077</v>
      </c>
      <c r="Y19" t="str">
        <f t="shared" si="4"/>
        <v/>
      </c>
      <c r="Z19" s="2">
        <f>Z18</f>
        <v>249</v>
      </c>
      <c r="AA19" s="2">
        <v>53</v>
      </c>
      <c r="AB19" s="8">
        <f>$K$3/(2*(Z19+1)*(AA19+1))</f>
        <v>44.444444444444443</v>
      </c>
      <c r="AC19" t="str">
        <f t="shared" si="5"/>
        <v/>
      </c>
    </row>
    <row r="20" spans="10:29" x14ac:dyDescent="0.25">
      <c r="J20" s="2">
        <f t="shared" ref="J20:J83" si="6">J19</f>
        <v>249</v>
      </c>
      <c r="K20" s="2">
        <v>252</v>
      </c>
      <c r="L20" s="8">
        <f>$K$3/(2*(J20+1)*(K20+1))</f>
        <v>9.4861660079051386</v>
      </c>
      <c r="M20" t="str">
        <f t="shared" si="1"/>
        <v/>
      </c>
      <c r="N20" s="2">
        <f>N19</f>
        <v>249</v>
      </c>
      <c r="O20" s="2">
        <v>202</v>
      </c>
      <c r="P20" s="8">
        <f>$K$3/(2*(N20+1)*(O20+1))</f>
        <v>11.822660098522167</v>
      </c>
      <c r="Q20" t="str">
        <f t="shared" si="2"/>
        <v/>
      </c>
      <c r="R20" s="2">
        <f>R19</f>
        <v>249</v>
      </c>
      <c r="S20" s="2">
        <v>152</v>
      </c>
      <c r="T20" s="8">
        <f>$K$3/(2*(R20+1)*(S20+1))</f>
        <v>15.686274509803921</v>
      </c>
      <c r="U20" t="str">
        <f t="shared" si="3"/>
        <v/>
      </c>
      <c r="V20" s="2">
        <f>V19</f>
        <v>249</v>
      </c>
      <c r="W20" s="2">
        <v>102</v>
      </c>
      <c r="X20" s="8">
        <f>$K$3/(2*(V20+1)*(W20+1))</f>
        <v>23.300970873786408</v>
      </c>
      <c r="Y20" t="str">
        <f t="shared" si="4"/>
        <v/>
      </c>
      <c r="Z20" s="2">
        <f>Z19</f>
        <v>249</v>
      </c>
      <c r="AA20" s="2">
        <v>52</v>
      </c>
      <c r="AB20" s="8">
        <f>$K$3/(2*(Z20+1)*(AA20+1))</f>
        <v>45.283018867924525</v>
      </c>
      <c r="AC20" t="str">
        <f t="shared" si="5"/>
        <v/>
      </c>
    </row>
    <row r="21" spans="10:29" x14ac:dyDescent="0.25">
      <c r="J21" s="2">
        <f t="shared" si="6"/>
        <v>249</v>
      </c>
      <c r="K21" s="2">
        <v>251</v>
      </c>
      <c r="L21" s="8">
        <f>$K$3/(2*(J21+1)*(K21+1))</f>
        <v>9.5238095238095237</v>
      </c>
      <c r="M21" t="str">
        <f t="shared" si="1"/>
        <v/>
      </c>
      <c r="N21" s="2">
        <f>N20</f>
        <v>249</v>
      </c>
      <c r="O21" s="2">
        <v>201</v>
      </c>
      <c r="P21" s="8">
        <f>$K$3/(2*(N21+1)*(O21+1))</f>
        <v>11.881188118811881</v>
      </c>
      <c r="Q21" t="str">
        <f t="shared" si="2"/>
        <v/>
      </c>
      <c r="R21" s="2">
        <f>R20</f>
        <v>249</v>
      </c>
      <c r="S21" s="2">
        <v>151</v>
      </c>
      <c r="T21" s="8">
        <f>$K$3/(2*(R21+1)*(S21+1))</f>
        <v>15.789473684210526</v>
      </c>
      <c r="U21" t="str">
        <f t="shared" si="3"/>
        <v/>
      </c>
      <c r="V21" s="2">
        <f>V20</f>
        <v>249</v>
      </c>
      <c r="W21" s="2">
        <v>101</v>
      </c>
      <c r="X21" s="8">
        <f>$K$3/(2*(V21+1)*(W21+1))</f>
        <v>23.529411764705884</v>
      </c>
      <c r="Y21" t="str">
        <f t="shared" si="4"/>
        <v/>
      </c>
      <c r="Z21" s="2">
        <f>Z20</f>
        <v>249</v>
      </c>
      <c r="AA21" s="2">
        <v>51</v>
      </c>
      <c r="AB21" s="8">
        <f>$K$3/(2*(Z21+1)*(AA21+1))</f>
        <v>46.153846153846153</v>
      </c>
      <c r="AC21" t="str">
        <f t="shared" si="5"/>
        <v/>
      </c>
    </row>
    <row r="22" spans="10:29" x14ac:dyDescent="0.25">
      <c r="J22" s="2">
        <f t="shared" si="6"/>
        <v>249</v>
      </c>
      <c r="K22" s="2">
        <v>250</v>
      </c>
      <c r="L22" s="8">
        <f>$K$3/(2*(J22+1)*(K22+1))</f>
        <v>9.5617529880478092</v>
      </c>
      <c r="M22" t="str">
        <f t="shared" si="1"/>
        <v/>
      </c>
      <c r="N22" s="2">
        <f>N21</f>
        <v>249</v>
      </c>
      <c r="O22" s="2">
        <v>200</v>
      </c>
      <c r="P22" s="8">
        <f>$K$3/(2*(N22+1)*(O22+1))</f>
        <v>11.940298507462687</v>
      </c>
      <c r="Q22" t="str">
        <f t="shared" si="2"/>
        <v/>
      </c>
      <c r="R22" s="2">
        <f>R21</f>
        <v>249</v>
      </c>
      <c r="S22" s="2">
        <v>150</v>
      </c>
      <c r="T22" s="8">
        <f>$K$3/(2*(R22+1)*(S22+1))</f>
        <v>15.894039735099337</v>
      </c>
      <c r="U22" t="str">
        <f t="shared" si="3"/>
        <v/>
      </c>
      <c r="V22" s="2">
        <f>V21</f>
        <v>249</v>
      </c>
      <c r="W22" s="2">
        <v>100</v>
      </c>
      <c r="X22" s="8">
        <f>$K$3/(2*(V22+1)*(W22+1))</f>
        <v>23.762376237623762</v>
      </c>
      <c r="Y22" t="str">
        <f t="shared" si="4"/>
        <v/>
      </c>
      <c r="Z22" s="2">
        <f>Z21</f>
        <v>249</v>
      </c>
      <c r="AA22" s="2">
        <v>50</v>
      </c>
      <c r="AB22" s="8">
        <f>$K$3/(2*(Z22+1)*(AA22+1))</f>
        <v>47.058823529411768</v>
      </c>
      <c r="AC22" t="str">
        <f t="shared" si="5"/>
        <v/>
      </c>
    </row>
    <row r="23" spans="10:29" x14ac:dyDescent="0.25">
      <c r="J23" s="2">
        <f t="shared" si="6"/>
        <v>249</v>
      </c>
      <c r="K23" s="2">
        <v>249</v>
      </c>
      <c r="L23" s="8">
        <f>$K$3/(2*(J23+1)*(K23+1))</f>
        <v>9.6</v>
      </c>
      <c r="M23" t="str">
        <f t="shared" si="1"/>
        <v/>
      </c>
      <c r="N23" s="2">
        <f>N22</f>
        <v>249</v>
      </c>
      <c r="O23" s="2">
        <v>199</v>
      </c>
      <c r="P23" s="8">
        <f>$K$3/(2*(N23+1)*(O23+1))</f>
        <v>12</v>
      </c>
      <c r="Q23" t="str">
        <f t="shared" si="2"/>
        <v>1</v>
      </c>
      <c r="R23" s="2">
        <f>R22</f>
        <v>249</v>
      </c>
      <c r="S23" s="2">
        <v>149</v>
      </c>
      <c r="T23" s="8">
        <f>$K$3/(2*(R23+1)*(S23+1))</f>
        <v>16</v>
      </c>
      <c r="U23" t="str">
        <f t="shared" si="3"/>
        <v>1</v>
      </c>
      <c r="V23" s="2">
        <f>V22</f>
        <v>249</v>
      </c>
      <c r="W23" s="2">
        <v>99</v>
      </c>
      <c r="X23" s="8">
        <f>$K$3/(2*(V23+1)*(W23+1))</f>
        <v>24</v>
      </c>
      <c r="Y23" t="str">
        <f t="shared" si="4"/>
        <v>1</v>
      </c>
      <c r="Z23" s="2">
        <f>Z22</f>
        <v>249</v>
      </c>
      <c r="AA23" s="2">
        <v>49</v>
      </c>
      <c r="AB23" s="8">
        <f>$K$3/(2*(Z23+1)*(AA23+1))</f>
        <v>48</v>
      </c>
      <c r="AC23" t="str">
        <f t="shared" si="5"/>
        <v>1</v>
      </c>
    </row>
    <row r="24" spans="10:29" x14ac:dyDescent="0.25">
      <c r="J24" s="2">
        <f t="shared" si="6"/>
        <v>249</v>
      </c>
      <c r="K24" s="2">
        <v>248</v>
      </c>
      <c r="L24" s="8">
        <f>$K$3/(2*(J24+1)*(K24+1))</f>
        <v>9.6385542168674707</v>
      </c>
      <c r="M24" t="str">
        <f t="shared" si="1"/>
        <v/>
      </c>
      <c r="N24" s="2">
        <f>N23</f>
        <v>249</v>
      </c>
      <c r="O24" s="2">
        <v>198</v>
      </c>
      <c r="P24" s="8">
        <f>$K$3/(2*(N24+1)*(O24+1))</f>
        <v>12.060301507537689</v>
      </c>
      <c r="Q24" t="str">
        <f t="shared" si="2"/>
        <v/>
      </c>
      <c r="R24" s="2">
        <f>R23</f>
        <v>249</v>
      </c>
      <c r="S24" s="2">
        <v>148</v>
      </c>
      <c r="T24" s="8">
        <f>$K$3/(2*(R24+1)*(S24+1))</f>
        <v>16.107382550335572</v>
      </c>
      <c r="U24" t="str">
        <f t="shared" si="3"/>
        <v/>
      </c>
      <c r="V24" s="2">
        <f>V23</f>
        <v>249</v>
      </c>
      <c r="W24" s="2">
        <v>98</v>
      </c>
      <c r="X24" s="8">
        <f>$K$3/(2*(V24+1)*(W24+1))</f>
        <v>24.242424242424242</v>
      </c>
      <c r="Y24" t="str">
        <f t="shared" si="4"/>
        <v/>
      </c>
      <c r="Z24" s="2">
        <f>Z23</f>
        <v>249</v>
      </c>
      <c r="AA24" s="2">
        <v>48</v>
      </c>
      <c r="AB24" s="8">
        <f>$K$3/(2*(Z24+1)*(AA24+1))</f>
        <v>48.979591836734691</v>
      </c>
      <c r="AC24" t="str">
        <f t="shared" si="5"/>
        <v/>
      </c>
    </row>
    <row r="25" spans="10:29" x14ac:dyDescent="0.25">
      <c r="J25" s="2">
        <f t="shared" si="6"/>
        <v>249</v>
      </c>
      <c r="K25" s="2">
        <v>247</v>
      </c>
      <c r="L25" s="8">
        <f>$K$3/(2*(J25+1)*(K25+1))</f>
        <v>9.67741935483871</v>
      </c>
      <c r="M25" t="str">
        <f t="shared" si="1"/>
        <v/>
      </c>
      <c r="N25" s="2">
        <f>N24</f>
        <v>249</v>
      </c>
      <c r="O25" s="2">
        <v>197</v>
      </c>
      <c r="P25" s="8">
        <f>$K$3/(2*(N25+1)*(O25+1))</f>
        <v>12.121212121212121</v>
      </c>
      <c r="Q25" t="str">
        <f t="shared" si="2"/>
        <v/>
      </c>
      <c r="R25" s="2">
        <f>R24</f>
        <v>249</v>
      </c>
      <c r="S25" s="2">
        <v>147</v>
      </c>
      <c r="T25" s="8">
        <f>$K$3/(2*(R25+1)*(S25+1))</f>
        <v>16.216216216216218</v>
      </c>
      <c r="U25" t="str">
        <f t="shared" si="3"/>
        <v/>
      </c>
      <c r="V25" s="2">
        <f>V24</f>
        <v>249</v>
      </c>
      <c r="W25" s="2">
        <v>97</v>
      </c>
      <c r="X25" s="8">
        <f>$K$3/(2*(V25+1)*(W25+1))</f>
        <v>24.489795918367346</v>
      </c>
      <c r="Y25" t="str">
        <f t="shared" si="4"/>
        <v/>
      </c>
      <c r="Z25" s="2">
        <f>Z24</f>
        <v>249</v>
      </c>
      <c r="AA25" s="2">
        <v>47</v>
      </c>
      <c r="AB25" s="8">
        <f>$K$3/(2*(Z25+1)*(AA25+1))</f>
        <v>50</v>
      </c>
      <c r="AC25" t="str">
        <f t="shared" si="5"/>
        <v>1</v>
      </c>
    </row>
    <row r="26" spans="10:29" x14ac:dyDescent="0.25">
      <c r="J26" s="2">
        <f t="shared" si="6"/>
        <v>249</v>
      </c>
      <c r="K26" s="2">
        <v>246</v>
      </c>
      <c r="L26" s="8">
        <f>$K$3/(2*(J26+1)*(K26+1))</f>
        <v>9.7165991902834001</v>
      </c>
      <c r="M26" t="str">
        <f t="shared" si="1"/>
        <v/>
      </c>
      <c r="N26" s="2">
        <f>N25</f>
        <v>249</v>
      </c>
      <c r="O26" s="2">
        <v>196</v>
      </c>
      <c r="P26" s="8">
        <f>$K$3/(2*(N26+1)*(O26+1))</f>
        <v>12.182741116751268</v>
      </c>
      <c r="Q26" t="str">
        <f t="shared" si="2"/>
        <v/>
      </c>
      <c r="R26" s="2">
        <f>R25</f>
        <v>249</v>
      </c>
      <c r="S26" s="2">
        <v>146</v>
      </c>
      <c r="T26" s="8">
        <f>$K$3/(2*(R26+1)*(S26+1))</f>
        <v>16.326530612244898</v>
      </c>
      <c r="U26" t="str">
        <f t="shared" si="3"/>
        <v/>
      </c>
      <c r="V26" s="2">
        <f>V25</f>
        <v>249</v>
      </c>
      <c r="W26" s="2">
        <v>96</v>
      </c>
      <c r="X26" s="8">
        <f>$K$3/(2*(V26+1)*(W26+1))</f>
        <v>24.742268041237114</v>
      </c>
      <c r="Y26" t="str">
        <f t="shared" si="4"/>
        <v/>
      </c>
      <c r="Z26" s="2">
        <f>Z25</f>
        <v>249</v>
      </c>
      <c r="AA26" s="2">
        <v>46</v>
      </c>
      <c r="AB26" s="8">
        <f>$K$3/(2*(Z26+1)*(AA26+1))</f>
        <v>51.063829787234042</v>
      </c>
      <c r="AC26" t="str">
        <f t="shared" si="5"/>
        <v/>
      </c>
    </row>
    <row r="27" spans="10:29" x14ac:dyDescent="0.25">
      <c r="J27" s="2">
        <f t="shared" si="6"/>
        <v>249</v>
      </c>
      <c r="K27" s="2">
        <v>245</v>
      </c>
      <c r="L27" s="8">
        <f>$K$3/(2*(J27+1)*(K27+1))</f>
        <v>9.7560975609756095</v>
      </c>
      <c r="M27" t="str">
        <f t="shared" si="1"/>
        <v/>
      </c>
      <c r="N27" s="2">
        <f>N26</f>
        <v>249</v>
      </c>
      <c r="O27" s="2">
        <v>195</v>
      </c>
      <c r="P27" s="8">
        <f>$K$3/(2*(N27+1)*(O27+1))</f>
        <v>12.244897959183673</v>
      </c>
      <c r="Q27" t="str">
        <f t="shared" si="2"/>
        <v/>
      </c>
      <c r="R27" s="2">
        <f>R26</f>
        <v>249</v>
      </c>
      <c r="S27" s="2">
        <v>145</v>
      </c>
      <c r="T27" s="8">
        <f>$K$3/(2*(R27+1)*(S27+1))</f>
        <v>16.438356164383563</v>
      </c>
      <c r="U27" t="str">
        <f t="shared" si="3"/>
        <v/>
      </c>
      <c r="V27" s="2">
        <f>V26</f>
        <v>249</v>
      </c>
      <c r="W27" s="2">
        <v>95</v>
      </c>
      <c r="X27" s="8">
        <f>$K$3/(2*(V27+1)*(W27+1))</f>
        <v>25</v>
      </c>
      <c r="Y27" t="str">
        <f t="shared" si="4"/>
        <v>1</v>
      </c>
      <c r="Z27" s="2">
        <f>Z26</f>
        <v>249</v>
      </c>
      <c r="AA27" s="2">
        <v>45</v>
      </c>
      <c r="AB27" s="8">
        <f>$K$3/(2*(Z27+1)*(AA27+1))</f>
        <v>52.173913043478258</v>
      </c>
      <c r="AC27" t="str">
        <f t="shared" si="5"/>
        <v/>
      </c>
    </row>
    <row r="28" spans="10:29" x14ac:dyDescent="0.25">
      <c r="J28" s="2">
        <f t="shared" si="6"/>
        <v>249</v>
      </c>
      <c r="K28" s="2">
        <v>244</v>
      </c>
      <c r="L28" s="8">
        <f>$K$3/(2*(J28+1)*(K28+1))</f>
        <v>9.795918367346939</v>
      </c>
      <c r="M28" t="str">
        <f t="shared" si="1"/>
        <v/>
      </c>
      <c r="N28" s="2">
        <f>N27</f>
        <v>249</v>
      </c>
      <c r="O28" s="2">
        <v>194</v>
      </c>
      <c r="P28" s="8">
        <f>$K$3/(2*(N28+1)*(O28+1))</f>
        <v>12.307692307692308</v>
      </c>
      <c r="Q28" t="str">
        <f t="shared" si="2"/>
        <v/>
      </c>
      <c r="R28" s="2">
        <f>R27</f>
        <v>249</v>
      </c>
      <c r="S28" s="2">
        <v>144</v>
      </c>
      <c r="T28" s="8">
        <f>$K$3/(2*(R28+1)*(S28+1))</f>
        <v>16.551724137931036</v>
      </c>
      <c r="U28" t="str">
        <f t="shared" si="3"/>
        <v/>
      </c>
      <c r="V28" s="2">
        <f>V27</f>
        <v>249</v>
      </c>
      <c r="W28" s="2">
        <v>94</v>
      </c>
      <c r="X28" s="8">
        <f>$K$3/(2*(V28+1)*(W28+1))</f>
        <v>25.263157894736842</v>
      </c>
      <c r="Y28" t="str">
        <f t="shared" si="4"/>
        <v/>
      </c>
      <c r="Z28" s="2">
        <f>Z27</f>
        <v>249</v>
      </c>
      <c r="AA28" s="2">
        <v>44</v>
      </c>
      <c r="AB28" s="8">
        <f>$K$3/(2*(Z28+1)*(AA28+1))</f>
        <v>53.333333333333336</v>
      </c>
      <c r="AC28" t="str">
        <f t="shared" si="5"/>
        <v/>
      </c>
    </row>
    <row r="29" spans="10:29" x14ac:dyDescent="0.25">
      <c r="J29" s="2">
        <f t="shared" si="6"/>
        <v>249</v>
      </c>
      <c r="K29" s="2">
        <v>243</v>
      </c>
      <c r="L29" s="8">
        <f>$K$3/(2*(J29+1)*(K29+1))</f>
        <v>9.8360655737704921</v>
      </c>
      <c r="M29" t="str">
        <f t="shared" si="1"/>
        <v/>
      </c>
      <c r="N29" s="2">
        <f>N28</f>
        <v>249</v>
      </c>
      <c r="O29" s="2">
        <v>193</v>
      </c>
      <c r="P29" s="8">
        <f>$K$3/(2*(N29+1)*(O29+1))</f>
        <v>12.371134020618557</v>
      </c>
      <c r="Q29" t="str">
        <f t="shared" si="2"/>
        <v/>
      </c>
      <c r="R29" s="2">
        <f>R28</f>
        <v>249</v>
      </c>
      <c r="S29" s="2">
        <v>143</v>
      </c>
      <c r="T29" s="8">
        <f>$K$3/(2*(R29+1)*(S29+1))</f>
        <v>16.666666666666668</v>
      </c>
      <c r="U29" t="str">
        <f t="shared" si="3"/>
        <v/>
      </c>
      <c r="V29" s="2">
        <f>V28</f>
        <v>249</v>
      </c>
      <c r="W29" s="2">
        <v>93</v>
      </c>
      <c r="X29" s="8">
        <f>$K$3/(2*(V29+1)*(W29+1))</f>
        <v>25.531914893617021</v>
      </c>
      <c r="Y29" t="str">
        <f t="shared" si="4"/>
        <v/>
      </c>
      <c r="Z29" s="2">
        <f>Z28</f>
        <v>249</v>
      </c>
      <c r="AA29" s="2">
        <v>43</v>
      </c>
      <c r="AB29" s="8">
        <f>$K$3/(2*(Z29+1)*(AA29+1))</f>
        <v>54.545454545454547</v>
      </c>
      <c r="AC29" t="str">
        <f t="shared" si="5"/>
        <v/>
      </c>
    </row>
    <row r="30" spans="10:29" x14ac:dyDescent="0.25">
      <c r="J30" s="2">
        <f t="shared" si="6"/>
        <v>249</v>
      </c>
      <c r="K30" s="2">
        <v>242</v>
      </c>
      <c r="L30" s="8">
        <f>$K$3/(2*(J30+1)*(K30+1))</f>
        <v>9.8765432098765427</v>
      </c>
      <c r="M30" t="str">
        <f t="shared" si="1"/>
        <v/>
      </c>
      <c r="N30" s="2">
        <f>N29</f>
        <v>249</v>
      </c>
      <c r="O30" s="2">
        <v>192</v>
      </c>
      <c r="P30" s="8">
        <f>$K$3/(2*(N30+1)*(O30+1))</f>
        <v>12.435233160621761</v>
      </c>
      <c r="Q30" t="str">
        <f t="shared" si="2"/>
        <v/>
      </c>
      <c r="R30" s="2">
        <f>R29</f>
        <v>249</v>
      </c>
      <c r="S30" s="2">
        <v>142</v>
      </c>
      <c r="T30" s="8">
        <f>$K$3/(2*(R30+1)*(S30+1))</f>
        <v>16.783216783216783</v>
      </c>
      <c r="U30" t="str">
        <f t="shared" si="3"/>
        <v/>
      </c>
      <c r="V30" s="2">
        <f>V29</f>
        <v>249</v>
      </c>
      <c r="W30" s="2">
        <v>92</v>
      </c>
      <c r="X30" s="8">
        <f>$K$3/(2*(V30+1)*(W30+1))</f>
        <v>25.806451612903224</v>
      </c>
      <c r="Y30" t="str">
        <f t="shared" si="4"/>
        <v/>
      </c>
      <c r="Z30" s="2">
        <f>Z29</f>
        <v>249</v>
      </c>
      <c r="AA30" s="2">
        <v>42</v>
      </c>
      <c r="AB30" s="8">
        <f>$K$3/(2*(Z30+1)*(AA30+1))</f>
        <v>55.813953488372093</v>
      </c>
      <c r="AC30" t="str">
        <f t="shared" si="5"/>
        <v/>
      </c>
    </row>
    <row r="31" spans="10:29" x14ac:dyDescent="0.25">
      <c r="J31" s="2">
        <f t="shared" si="6"/>
        <v>249</v>
      </c>
      <c r="K31" s="2">
        <v>241</v>
      </c>
      <c r="L31" s="8">
        <f>$K$3/(2*(J31+1)*(K31+1))</f>
        <v>9.9173553719008272</v>
      </c>
      <c r="M31" t="str">
        <f t="shared" si="1"/>
        <v/>
      </c>
      <c r="N31" s="2">
        <f>N30</f>
        <v>249</v>
      </c>
      <c r="O31" s="2">
        <v>191</v>
      </c>
      <c r="P31" s="8">
        <f>$K$3/(2*(N31+1)*(O31+1))</f>
        <v>12.5</v>
      </c>
      <c r="Q31" t="str">
        <f t="shared" si="2"/>
        <v/>
      </c>
      <c r="R31" s="2">
        <f>R30</f>
        <v>249</v>
      </c>
      <c r="S31" s="2">
        <v>141</v>
      </c>
      <c r="T31" s="8">
        <f>$K$3/(2*(R31+1)*(S31+1))</f>
        <v>16.901408450704224</v>
      </c>
      <c r="U31" t="str">
        <f t="shared" si="3"/>
        <v/>
      </c>
      <c r="V31" s="2">
        <f>V30</f>
        <v>249</v>
      </c>
      <c r="W31" s="2">
        <v>91</v>
      </c>
      <c r="X31" s="8">
        <f>$K$3/(2*(V31+1)*(W31+1))</f>
        <v>26.086956521739129</v>
      </c>
      <c r="Y31" t="str">
        <f t="shared" si="4"/>
        <v/>
      </c>
      <c r="Z31" s="2">
        <f>Z30</f>
        <v>249</v>
      </c>
      <c r="AA31" s="2">
        <v>41</v>
      </c>
      <c r="AB31" s="8">
        <f>$K$3/(2*(Z31+1)*(AA31+1))</f>
        <v>57.142857142857146</v>
      </c>
      <c r="AC31" t="str">
        <f t="shared" si="5"/>
        <v/>
      </c>
    </row>
    <row r="32" spans="10:29" x14ac:dyDescent="0.25">
      <c r="J32" s="2">
        <f t="shared" si="6"/>
        <v>249</v>
      </c>
      <c r="K32" s="2">
        <v>240</v>
      </c>
      <c r="L32" s="8">
        <f>$K$3/(2*(J32+1)*(K32+1))</f>
        <v>9.9585062240663902</v>
      </c>
      <c r="M32" t="str">
        <f t="shared" si="1"/>
        <v/>
      </c>
      <c r="N32" s="2">
        <f>N31</f>
        <v>249</v>
      </c>
      <c r="O32" s="2">
        <v>190</v>
      </c>
      <c r="P32" s="8">
        <f>$K$3/(2*(N32+1)*(O32+1))</f>
        <v>12.565445026178011</v>
      </c>
      <c r="Q32" t="str">
        <f t="shared" si="2"/>
        <v/>
      </c>
      <c r="R32" s="2">
        <f>R31</f>
        <v>249</v>
      </c>
      <c r="S32" s="2">
        <v>140</v>
      </c>
      <c r="T32" s="8">
        <f>$K$3/(2*(R32+1)*(S32+1))</f>
        <v>17.021276595744681</v>
      </c>
      <c r="U32" t="str">
        <f t="shared" si="3"/>
        <v/>
      </c>
      <c r="V32" s="2">
        <f>V31</f>
        <v>249</v>
      </c>
      <c r="W32" s="2">
        <v>90</v>
      </c>
      <c r="X32" s="8">
        <f>$K$3/(2*(V32+1)*(W32+1))</f>
        <v>26.373626373626372</v>
      </c>
      <c r="Y32" t="str">
        <f t="shared" si="4"/>
        <v/>
      </c>
      <c r="Z32" s="2">
        <f>Z31</f>
        <v>249</v>
      </c>
      <c r="AA32" s="2">
        <v>40</v>
      </c>
      <c r="AB32" s="8">
        <f>$K$3/(2*(Z32+1)*(AA32+1))</f>
        <v>58.536585365853661</v>
      </c>
      <c r="AC32" t="str">
        <f t="shared" si="5"/>
        <v/>
      </c>
    </row>
    <row r="33" spans="10:29" x14ac:dyDescent="0.25">
      <c r="J33" s="2">
        <f t="shared" si="6"/>
        <v>249</v>
      </c>
      <c r="K33" s="2">
        <v>239</v>
      </c>
      <c r="L33" s="8">
        <f>$K$3/(2*(J33+1)*(K33+1))</f>
        <v>10</v>
      </c>
      <c r="M33" t="str">
        <f t="shared" si="1"/>
        <v>1</v>
      </c>
      <c r="N33" s="2">
        <f>N32</f>
        <v>249</v>
      </c>
      <c r="O33" s="2">
        <v>189</v>
      </c>
      <c r="P33" s="8">
        <f>$K$3/(2*(N33+1)*(O33+1))</f>
        <v>12.631578947368421</v>
      </c>
      <c r="Q33" t="str">
        <f t="shared" si="2"/>
        <v/>
      </c>
      <c r="R33" s="2">
        <f>R32</f>
        <v>249</v>
      </c>
      <c r="S33" s="2">
        <v>139</v>
      </c>
      <c r="T33" s="8">
        <f>$K$3/(2*(R33+1)*(S33+1))</f>
        <v>17.142857142857142</v>
      </c>
      <c r="U33" t="str">
        <f t="shared" si="3"/>
        <v/>
      </c>
      <c r="V33" s="2">
        <f>V32</f>
        <v>249</v>
      </c>
      <c r="W33" s="2">
        <v>89</v>
      </c>
      <c r="X33" s="8">
        <f>$K$3/(2*(V33+1)*(W33+1))</f>
        <v>26.666666666666668</v>
      </c>
      <c r="Y33" t="str">
        <f t="shared" si="4"/>
        <v/>
      </c>
      <c r="Z33" s="2">
        <f>Z32</f>
        <v>249</v>
      </c>
      <c r="AA33" s="2">
        <v>39</v>
      </c>
      <c r="AB33" s="8">
        <f>$K$3/(2*(Z33+1)*(AA33+1))</f>
        <v>60</v>
      </c>
      <c r="AC33" t="str">
        <f t="shared" si="5"/>
        <v>1</v>
      </c>
    </row>
    <row r="34" spans="10:29" x14ac:dyDescent="0.25">
      <c r="J34" s="2">
        <f t="shared" si="6"/>
        <v>249</v>
      </c>
      <c r="K34" s="2">
        <v>238</v>
      </c>
      <c r="L34" s="8">
        <f>$K$3/(2*(J34+1)*(K34+1))</f>
        <v>10.0418410041841</v>
      </c>
      <c r="M34" t="str">
        <f t="shared" si="1"/>
        <v/>
      </c>
      <c r="N34" s="2">
        <f t="shared" ref="N34:N97" si="7">N33</f>
        <v>249</v>
      </c>
      <c r="O34" s="2">
        <v>188</v>
      </c>
      <c r="P34" s="8">
        <f>$K$3/(2*(N34+1)*(O34+1))</f>
        <v>12.698412698412698</v>
      </c>
      <c r="Q34" t="str">
        <f t="shared" si="2"/>
        <v/>
      </c>
      <c r="R34" s="2">
        <f>R33</f>
        <v>249</v>
      </c>
      <c r="S34" s="2">
        <v>138</v>
      </c>
      <c r="T34" s="8">
        <f>$K$3/(2*(R34+1)*(S34+1))</f>
        <v>17.266187050359711</v>
      </c>
      <c r="U34" t="str">
        <f t="shared" si="3"/>
        <v/>
      </c>
      <c r="V34" s="2">
        <f>V33</f>
        <v>249</v>
      </c>
      <c r="W34" s="2">
        <v>88</v>
      </c>
      <c r="X34" s="8">
        <f>$K$3/(2*(V34+1)*(W34+1))</f>
        <v>26.966292134831459</v>
      </c>
      <c r="Y34" t="str">
        <f t="shared" si="4"/>
        <v/>
      </c>
      <c r="Z34" s="2">
        <f>Z33</f>
        <v>249</v>
      </c>
      <c r="AA34" s="2">
        <v>38</v>
      </c>
      <c r="AB34" s="8">
        <f>$K$3/(2*(Z34+1)*(AA34+1))</f>
        <v>61.53846153846154</v>
      </c>
      <c r="AC34" t="str">
        <f t="shared" si="5"/>
        <v/>
      </c>
    </row>
    <row r="35" spans="10:29" x14ac:dyDescent="0.25">
      <c r="J35" s="2">
        <f t="shared" si="6"/>
        <v>249</v>
      </c>
      <c r="K35" s="2">
        <v>237</v>
      </c>
      <c r="L35" s="8">
        <f>$K$3/(2*(J35+1)*(K35+1))</f>
        <v>10.084033613445378</v>
      </c>
      <c r="M35" t="str">
        <f t="shared" si="1"/>
        <v/>
      </c>
      <c r="N35" s="2">
        <f t="shared" si="7"/>
        <v>249</v>
      </c>
      <c r="O35" s="2">
        <v>187</v>
      </c>
      <c r="P35" s="8">
        <f>$K$3/(2*(N35+1)*(O35+1))</f>
        <v>12.76595744680851</v>
      </c>
      <c r="Q35" t="str">
        <f t="shared" si="2"/>
        <v/>
      </c>
      <c r="R35" s="2">
        <f>R34</f>
        <v>249</v>
      </c>
      <c r="S35" s="2">
        <v>137</v>
      </c>
      <c r="T35" s="8">
        <f>$K$3/(2*(R35+1)*(S35+1))</f>
        <v>17.391304347826086</v>
      </c>
      <c r="U35" t="str">
        <f t="shared" si="3"/>
        <v/>
      </c>
      <c r="V35" s="2">
        <f>V34</f>
        <v>249</v>
      </c>
      <c r="W35" s="2">
        <v>87</v>
      </c>
      <c r="X35" s="8">
        <f>$K$3/(2*(V35+1)*(W35+1))</f>
        <v>27.272727272727273</v>
      </c>
      <c r="Y35" t="str">
        <f t="shared" si="4"/>
        <v/>
      </c>
      <c r="Z35" s="2">
        <f>Z34</f>
        <v>249</v>
      </c>
      <c r="AA35" s="2">
        <v>37</v>
      </c>
      <c r="AB35" s="8">
        <f>$K$3/(2*(Z35+1)*(AA35+1))</f>
        <v>63.157894736842103</v>
      </c>
      <c r="AC35" t="str">
        <f t="shared" si="5"/>
        <v/>
      </c>
    </row>
    <row r="36" spans="10:29" x14ac:dyDescent="0.25">
      <c r="J36" s="2">
        <f t="shared" si="6"/>
        <v>249</v>
      </c>
      <c r="K36" s="2">
        <v>236</v>
      </c>
      <c r="L36" s="8">
        <f>$K$3/(2*(J36+1)*(K36+1))</f>
        <v>10.126582278481013</v>
      </c>
      <c r="M36" t="str">
        <f t="shared" si="1"/>
        <v/>
      </c>
      <c r="N36" s="2">
        <f t="shared" si="7"/>
        <v>249</v>
      </c>
      <c r="O36" s="2">
        <v>186</v>
      </c>
      <c r="P36" s="8">
        <f>$K$3/(2*(N36+1)*(O36+1))</f>
        <v>12.834224598930481</v>
      </c>
      <c r="Q36" t="str">
        <f t="shared" si="2"/>
        <v/>
      </c>
      <c r="R36" s="2">
        <f>R35</f>
        <v>249</v>
      </c>
      <c r="S36" s="2">
        <v>136</v>
      </c>
      <c r="T36" s="8">
        <f>$K$3/(2*(R36+1)*(S36+1))</f>
        <v>17.518248175182482</v>
      </c>
      <c r="U36" t="str">
        <f t="shared" si="3"/>
        <v/>
      </c>
      <c r="V36" s="2">
        <f>V35</f>
        <v>249</v>
      </c>
      <c r="W36" s="2">
        <v>86</v>
      </c>
      <c r="X36" s="8">
        <f>$K$3/(2*(V36+1)*(W36+1))</f>
        <v>27.586206896551722</v>
      </c>
      <c r="Y36" t="str">
        <f t="shared" si="4"/>
        <v/>
      </c>
      <c r="Z36" s="2">
        <f>Z35</f>
        <v>249</v>
      </c>
      <c r="AA36" s="2">
        <v>36</v>
      </c>
      <c r="AB36" s="8">
        <f>$K$3/(2*(Z36+1)*(AA36+1))</f>
        <v>64.86486486486487</v>
      </c>
      <c r="AC36" t="str">
        <f t="shared" si="5"/>
        <v/>
      </c>
    </row>
    <row r="37" spans="10:29" x14ac:dyDescent="0.25">
      <c r="J37" s="2">
        <f t="shared" si="6"/>
        <v>249</v>
      </c>
      <c r="K37" s="2">
        <v>235</v>
      </c>
      <c r="L37" s="8">
        <f>$K$3/(2*(J37+1)*(K37+1))</f>
        <v>10.169491525423728</v>
      </c>
      <c r="M37" t="str">
        <f t="shared" si="1"/>
        <v/>
      </c>
      <c r="N37" s="2">
        <f t="shared" si="7"/>
        <v>249</v>
      </c>
      <c r="O37" s="2">
        <v>185</v>
      </c>
      <c r="P37" s="8">
        <f>$K$3/(2*(N37+1)*(O37+1))</f>
        <v>12.903225806451612</v>
      </c>
      <c r="Q37" t="str">
        <f t="shared" si="2"/>
        <v/>
      </c>
      <c r="R37" s="2">
        <f>R36</f>
        <v>249</v>
      </c>
      <c r="S37" s="2">
        <v>135</v>
      </c>
      <c r="T37" s="8">
        <f>$K$3/(2*(R37+1)*(S37+1))</f>
        <v>17.647058823529413</v>
      </c>
      <c r="U37" t="str">
        <f t="shared" si="3"/>
        <v/>
      </c>
      <c r="V37" s="2">
        <f>V36</f>
        <v>249</v>
      </c>
      <c r="W37" s="2">
        <v>85</v>
      </c>
      <c r="X37" s="8">
        <f>$K$3/(2*(V37+1)*(W37+1))</f>
        <v>27.906976744186046</v>
      </c>
      <c r="Y37" t="str">
        <f t="shared" si="4"/>
        <v/>
      </c>
      <c r="Z37" s="2">
        <f>Z36</f>
        <v>249</v>
      </c>
      <c r="AA37" s="2">
        <v>35</v>
      </c>
      <c r="AB37" s="8">
        <f>$K$3/(2*(Z37+1)*(AA37+1))</f>
        <v>66.666666666666671</v>
      </c>
      <c r="AC37" t="str">
        <f t="shared" si="5"/>
        <v/>
      </c>
    </row>
    <row r="38" spans="10:29" x14ac:dyDescent="0.25">
      <c r="J38" s="2">
        <f t="shared" si="6"/>
        <v>249</v>
      </c>
      <c r="K38" s="2">
        <v>234</v>
      </c>
      <c r="L38" s="8">
        <f>$K$3/(2*(J38+1)*(K38+1))</f>
        <v>10.212765957446809</v>
      </c>
      <c r="M38" t="str">
        <f t="shared" si="1"/>
        <v/>
      </c>
      <c r="N38" s="2">
        <f t="shared" si="7"/>
        <v>249</v>
      </c>
      <c r="O38" s="2">
        <v>184</v>
      </c>
      <c r="P38" s="8">
        <f>$K$3/(2*(N38+1)*(O38+1))</f>
        <v>12.972972972972974</v>
      </c>
      <c r="Q38" t="str">
        <f t="shared" si="2"/>
        <v/>
      </c>
      <c r="R38" s="2">
        <f>R37</f>
        <v>249</v>
      </c>
      <c r="S38" s="2">
        <v>134</v>
      </c>
      <c r="T38" s="8">
        <f>$K$3/(2*(R38+1)*(S38+1))</f>
        <v>17.777777777777779</v>
      </c>
      <c r="U38" t="str">
        <f t="shared" si="3"/>
        <v/>
      </c>
      <c r="V38" s="2">
        <f>V37</f>
        <v>249</v>
      </c>
      <c r="W38" s="2">
        <v>84</v>
      </c>
      <c r="X38" s="8">
        <f>$K$3/(2*(V38+1)*(W38+1))</f>
        <v>28.235294117647058</v>
      </c>
      <c r="Y38" t="str">
        <f t="shared" si="4"/>
        <v/>
      </c>
      <c r="Z38" s="2">
        <f>Z37</f>
        <v>249</v>
      </c>
      <c r="AA38" s="2">
        <v>34</v>
      </c>
      <c r="AB38" s="8">
        <f>$K$3/(2*(Z38+1)*(AA38+1))</f>
        <v>68.571428571428569</v>
      </c>
      <c r="AC38" t="str">
        <f t="shared" si="5"/>
        <v/>
      </c>
    </row>
    <row r="39" spans="10:29" x14ac:dyDescent="0.25">
      <c r="J39" s="2">
        <f t="shared" si="6"/>
        <v>249</v>
      </c>
      <c r="K39" s="2">
        <v>233</v>
      </c>
      <c r="L39" s="8">
        <f>$K$3/(2*(J39+1)*(K39+1))</f>
        <v>10.256410256410257</v>
      </c>
      <c r="M39" t="str">
        <f t="shared" si="1"/>
        <v/>
      </c>
      <c r="N39" s="2">
        <f t="shared" si="7"/>
        <v>249</v>
      </c>
      <c r="O39" s="2">
        <v>183</v>
      </c>
      <c r="P39" s="8">
        <f>$K$3/(2*(N39+1)*(O39+1))</f>
        <v>13.043478260869565</v>
      </c>
      <c r="Q39" t="str">
        <f t="shared" si="2"/>
        <v/>
      </c>
      <c r="R39" s="2">
        <f>R38</f>
        <v>249</v>
      </c>
      <c r="S39" s="2">
        <v>133</v>
      </c>
      <c r="T39" s="8">
        <f>$K$3/(2*(R39+1)*(S39+1))</f>
        <v>17.910447761194028</v>
      </c>
      <c r="U39" t="str">
        <f t="shared" si="3"/>
        <v/>
      </c>
      <c r="V39" s="2">
        <f>V38</f>
        <v>249</v>
      </c>
      <c r="W39" s="2">
        <v>83</v>
      </c>
      <c r="X39" s="8">
        <f>$K$3/(2*(V39+1)*(W39+1))</f>
        <v>28.571428571428573</v>
      </c>
      <c r="Y39" t="str">
        <f t="shared" si="4"/>
        <v/>
      </c>
      <c r="Z39" s="2">
        <f>Z38</f>
        <v>249</v>
      </c>
      <c r="AA39" s="2">
        <v>33</v>
      </c>
      <c r="AB39" s="8">
        <f>$K$3/(2*(Z39+1)*(AA39+1))</f>
        <v>70.588235294117652</v>
      </c>
      <c r="AC39" t="str">
        <f t="shared" si="5"/>
        <v/>
      </c>
    </row>
    <row r="40" spans="10:29" x14ac:dyDescent="0.25">
      <c r="J40" s="2">
        <f t="shared" si="6"/>
        <v>249</v>
      </c>
      <c r="K40" s="2">
        <v>232</v>
      </c>
      <c r="L40" s="8">
        <f>$K$3/(2*(J40+1)*(K40+1))</f>
        <v>10.300429184549357</v>
      </c>
      <c r="M40" t="str">
        <f t="shared" si="1"/>
        <v/>
      </c>
      <c r="N40" s="2">
        <f t="shared" si="7"/>
        <v>249</v>
      </c>
      <c r="O40" s="2">
        <v>182</v>
      </c>
      <c r="P40" s="8">
        <f>$K$3/(2*(N40+1)*(O40+1))</f>
        <v>13.114754098360656</v>
      </c>
      <c r="Q40" t="str">
        <f t="shared" si="2"/>
        <v/>
      </c>
      <c r="R40" s="2">
        <f>R39</f>
        <v>249</v>
      </c>
      <c r="S40" s="2">
        <v>132</v>
      </c>
      <c r="T40" s="8">
        <f>$K$3/(2*(R40+1)*(S40+1))</f>
        <v>18.045112781954888</v>
      </c>
      <c r="U40" t="str">
        <f t="shared" si="3"/>
        <v/>
      </c>
      <c r="V40" s="2">
        <f>V39</f>
        <v>249</v>
      </c>
      <c r="W40" s="2">
        <v>82</v>
      </c>
      <c r="X40" s="8">
        <f>$K$3/(2*(V40+1)*(W40+1))</f>
        <v>28.91566265060241</v>
      </c>
      <c r="Y40" t="str">
        <f t="shared" si="4"/>
        <v/>
      </c>
      <c r="Z40" s="2">
        <f>Z39</f>
        <v>249</v>
      </c>
      <c r="AA40" s="2">
        <v>32</v>
      </c>
      <c r="AB40" s="8">
        <f>$K$3/(2*(Z40+1)*(AA40+1))</f>
        <v>72.727272727272734</v>
      </c>
      <c r="AC40" t="str">
        <f t="shared" si="5"/>
        <v/>
      </c>
    </row>
    <row r="41" spans="10:29" x14ac:dyDescent="0.25">
      <c r="J41" s="2">
        <f t="shared" si="6"/>
        <v>249</v>
      </c>
      <c r="K41" s="2">
        <v>231</v>
      </c>
      <c r="L41" s="8">
        <f>$K$3/(2*(J41+1)*(K41+1))</f>
        <v>10.344827586206897</v>
      </c>
      <c r="M41" t="str">
        <f t="shared" si="1"/>
        <v/>
      </c>
      <c r="N41" s="2">
        <f t="shared" si="7"/>
        <v>249</v>
      </c>
      <c r="O41" s="2">
        <v>181</v>
      </c>
      <c r="P41" s="8">
        <f>$K$3/(2*(N41+1)*(O41+1))</f>
        <v>13.186813186813186</v>
      </c>
      <c r="Q41" t="str">
        <f t="shared" si="2"/>
        <v/>
      </c>
      <c r="R41" s="2">
        <f>R40</f>
        <v>249</v>
      </c>
      <c r="S41" s="2">
        <v>131</v>
      </c>
      <c r="T41" s="8">
        <f>$K$3/(2*(R41+1)*(S41+1))</f>
        <v>18.181818181818183</v>
      </c>
      <c r="U41" t="str">
        <f t="shared" si="3"/>
        <v/>
      </c>
      <c r="V41" s="2">
        <f>V40</f>
        <v>249</v>
      </c>
      <c r="W41" s="2">
        <v>81</v>
      </c>
      <c r="X41" s="8">
        <f>$K$3/(2*(V41+1)*(W41+1))</f>
        <v>29.26829268292683</v>
      </c>
      <c r="Y41" t="str">
        <f t="shared" si="4"/>
        <v/>
      </c>
      <c r="Z41" s="2">
        <f>Z40</f>
        <v>249</v>
      </c>
      <c r="AA41" s="2">
        <v>31</v>
      </c>
      <c r="AB41" s="8">
        <f>$K$3/(2*(Z41+1)*(AA41+1))</f>
        <v>75</v>
      </c>
      <c r="AC41" t="str">
        <f t="shared" si="5"/>
        <v>1</v>
      </c>
    </row>
    <row r="42" spans="10:29" x14ac:dyDescent="0.25">
      <c r="J42" s="2">
        <f t="shared" si="6"/>
        <v>249</v>
      </c>
      <c r="K42" s="2">
        <v>230</v>
      </c>
      <c r="L42" s="8">
        <f>$K$3/(2*(J42+1)*(K42+1))</f>
        <v>10.38961038961039</v>
      </c>
      <c r="M42" t="str">
        <f t="shared" si="1"/>
        <v/>
      </c>
      <c r="N42" s="2">
        <f t="shared" si="7"/>
        <v>249</v>
      </c>
      <c r="O42" s="2">
        <v>180</v>
      </c>
      <c r="P42" s="8">
        <f>$K$3/(2*(N42+1)*(O42+1))</f>
        <v>13.259668508287293</v>
      </c>
      <c r="Q42" t="str">
        <f t="shared" si="2"/>
        <v/>
      </c>
      <c r="R42" s="2">
        <f>R41</f>
        <v>249</v>
      </c>
      <c r="S42" s="2">
        <v>130</v>
      </c>
      <c r="T42" s="8">
        <f>$K$3/(2*(R42+1)*(S42+1))</f>
        <v>18.320610687022899</v>
      </c>
      <c r="U42" t="str">
        <f t="shared" si="3"/>
        <v/>
      </c>
      <c r="V42" s="2">
        <f>V41</f>
        <v>249</v>
      </c>
      <c r="W42" s="2">
        <v>80</v>
      </c>
      <c r="X42" s="8">
        <f>$K$3/(2*(V42+1)*(W42+1))</f>
        <v>29.62962962962963</v>
      </c>
      <c r="Y42" t="str">
        <f t="shared" si="4"/>
        <v/>
      </c>
      <c r="Z42" s="2">
        <f>Z41</f>
        <v>249</v>
      </c>
      <c r="AA42" s="2">
        <v>30</v>
      </c>
      <c r="AB42" s="8">
        <f>$K$3/(2*(Z42+1)*(AA42+1))</f>
        <v>77.41935483870968</v>
      </c>
      <c r="AC42" t="str">
        <f t="shared" si="5"/>
        <v/>
      </c>
    </row>
    <row r="43" spans="10:29" x14ac:dyDescent="0.25">
      <c r="J43" s="2">
        <f t="shared" si="6"/>
        <v>249</v>
      </c>
      <c r="K43" s="2">
        <v>229</v>
      </c>
      <c r="L43" s="8">
        <f>$K$3/(2*(J43+1)*(K43+1))</f>
        <v>10.434782608695652</v>
      </c>
      <c r="M43" t="str">
        <f t="shared" si="1"/>
        <v/>
      </c>
      <c r="N43" s="2">
        <f t="shared" si="7"/>
        <v>249</v>
      </c>
      <c r="O43" s="2">
        <v>179</v>
      </c>
      <c r="P43" s="8">
        <f>$K$3/(2*(N43+1)*(O43+1))</f>
        <v>13.333333333333334</v>
      </c>
      <c r="Q43" t="str">
        <f t="shared" si="2"/>
        <v/>
      </c>
      <c r="R43" s="2">
        <f>R42</f>
        <v>249</v>
      </c>
      <c r="S43" s="2">
        <v>129</v>
      </c>
      <c r="T43" s="8">
        <f>$K$3/(2*(R43+1)*(S43+1))</f>
        <v>18.46153846153846</v>
      </c>
      <c r="U43" t="str">
        <f t="shared" si="3"/>
        <v/>
      </c>
      <c r="V43" s="2">
        <f>V42</f>
        <v>249</v>
      </c>
      <c r="W43" s="2">
        <v>79</v>
      </c>
      <c r="X43" s="8">
        <f>$K$3/(2*(V43+1)*(W43+1))</f>
        <v>30</v>
      </c>
      <c r="Y43" t="str">
        <f t="shared" si="4"/>
        <v>1</v>
      </c>
      <c r="Z43" s="2">
        <f>Z42</f>
        <v>249</v>
      </c>
      <c r="AA43" s="2">
        <v>29</v>
      </c>
      <c r="AB43" s="8">
        <f>$K$3/(2*(Z43+1)*(AA43+1))</f>
        <v>80</v>
      </c>
      <c r="AC43" t="str">
        <f t="shared" si="5"/>
        <v>1</v>
      </c>
    </row>
    <row r="44" spans="10:29" x14ac:dyDescent="0.25">
      <c r="J44" s="2">
        <f t="shared" si="6"/>
        <v>249</v>
      </c>
      <c r="K44" s="2">
        <v>228</v>
      </c>
      <c r="L44" s="8">
        <f>$K$3/(2*(J44+1)*(K44+1))</f>
        <v>10.480349344978166</v>
      </c>
      <c r="M44" t="str">
        <f t="shared" si="1"/>
        <v/>
      </c>
      <c r="N44" s="2">
        <f t="shared" si="7"/>
        <v>249</v>
      </c>
      <c r="O44" s="2">
        <v>178</v>
      </c>
      <c r="P44" s="8">
        <f>$K$3/(2*(N44+1)*(O44+1))</f>
        <v>13.407821229050279</v>
      </c>
      <c r="Q44" t="str">
        <f t="shared" si="2"/>
        <v/>
      </c>
      <c r="R44" s="2">
        <f>R43</f>
        <v>249</v>
      </c>
      <c r="S44" s="2">
        <v>128</v>
      </c>
      <c r="T44" s="8">
        <f>$K$3/(2*(R44+1)*(S44+1))</f>
        <v>18.604651162790699</v>
      </c>
      <c r="U44" t="str">
        <f t="shared" si="3"/>
        <v/>
      </c>
      <c r="V44" s="2">
        <f>V43</f>
        <v>249</v>
      </c>
      <c r="W44" s="2">
        <v>78</v>
      </c>
      <c r="X44" s="8">
        <f>$K$3/(2*(V44+1)*(W44+1))</f>
        <v>30.379746835443036</v>
      </c>
      <c r="Y44" t="str">
        <f t="shared" si="4"/>
        <v/>
      </c>
      <c r="Z44" s="2">
        <f>Z43</f>
        <v>249</v>
      </c>
      <c r="AA44" s="2">
        <v>28</v>
      </c>
      <c r="AB44" s="8">
        <f>$K$3/(2*(Z44+1)*(AA44+1))</f>
        <v>82.758620689655174</v>
      </c>
      <c r="AC44" t="str">
        <f t="shared" si="5"/>
        <v/>
      </c>
    </row>
    <row r="45" spans="10:29" x14ac:dyDescent="0.25">
      <c r="J45" s="2">
        <f t="shared" si="6"/>
        <v>249</v>
      </c>
      <c r="K45" s="2">
        <v>227</v>
      </c>
      <c r="L45" s="8">
        <f>$K$3/(2*(J45+1)*(K45+1))</f>
        <v>10.526315789473685</v>
      </c>
      <c r="M45" t="str">
        <f t="shared" si="1"/>
        <v/>
      </c>
      <c r="N45" s="2">
        <f t="shared" si="7"/>
        <v>249</v>
      </c>
      <c r="O45" s="2">
        <v>177</v>
      </c>
      <c r="P45" s="8">
        <f>$K$3/(2*(N45+1)*(O45+1))</f>
        <v>13.48314606741573</v>
      </c>
      <c r="Q45" t="str">
        <f t="shared" si="2"/>
        <v/>
      </c>
      <c r="R45" s="2">
        <f>R44</f>
        <v>249</v>
      </c>
      <c r="S45" s="2">
        <v>127</v>
      </c>
      <c r="T45" s="8">
        <f>$K$3/(2*(R45+1)*(S45+1))</f>
        <v>18.75</v>
      </c>
      <c r="U45" t="str">
        <f t="shared" si="3"/>
        <v/>
      </c>
      <c r="V45" s="2">
        <f>V44</f>
        <v>249</v>
      </c>
      <c r="W45" s="2">
        <v>77</v>
      </c>
      <c r="X45" s="8">
        <f>$K$3/(2*(V45+1)*(W45+1))</f>
        <v>30.76923076923077</v>
      </c>
      <c r="Y45" t="str">
        <f t="shared" si="4"/>
        <v/>
      </c>
      <c r="Z45" s="2">
        <f>Z44</f>
        <v>249</v>
      </c>
      <c r="AA45" s="2">
        <v>27</v>
      </c>
      <c r="AB45" s="8">
        <f>$K$3/(2*(Z45+1)*(AA45+1))</f>
        <v>85.714285714285708</v>
      </c>
      <c r="AC45" t="str">
        <f t="shared" si="5"/>
        <v/>
      </c>
    </row>
    <row r="46" spans="10:29" x14ac:dyDescent="0.25">
      <c r="J46" s="2">
        <f t="shared" si="6"/>
        <v>249</v>
      </c>
      <c r="K46" s="2">
        <v>226</v>
      </c>
      <c r="L46" s="8">
        <f>$K$3/(2*(J46+1)*(K46+1))</f>
        <v>10.572687224669604</v>
      </c>
      <c r="M46" t="str">
        <f t="shared" si="1"/>
        <v/>
      </c>
      <c r="N46" s="2">
        <f t="shared" si="7"/>
        <v>249</v>
      </c>
      <c r="O46" s="2">
        <v>176</v>
      </c>
      <c r="P46" s="8">
        <f>$K$3/(2*(N46+1)*(O46+1))</f>
        <v>13.559322033898304</v>
      </c>
      <c r="Q46" t="str">
        <f t="shared" si="2"/>
        <v/>
      </c>
      <c r="R46" s="2">
        <f>R45</f>
        <v>249</v>
      </c>
      <c r="S46" s="2">
        <v>126</v>
      </c>
      <c r="T46" s="8">
        <f>$K$3/(2*(R46+1)*(S46+1))</f>
        <v>18.897637795275589</v>
      </c>
      <c r="U46" t="str">
        <f t="shared" si="3"/>
        <v/>
      </c>
      <c r="V46" s="2">
        <f>V45</f>
        <v>249</v>
      </c>
      <c r="W46" s="2">
        <v>76</v>
      </c>
      <c r="X46" s="8">
        <f>$K$3/(2*(V46+1)*(W46+1))</f>
        <v>31.168831168831169</v>
      </c>
      <c r="Y46" t="str">
        <f t="shared" si="4"/>
        <v/>
      </c>
      <c r="Z46" s="2">
        <f>Z45</f>
        <v>249</v>
      </c>
      <c r="AA46" s="2">
        <v>26</v>
      </c>
      <c r="AB46" s="8">
        <f>$K$3/(2*(Z46+1)*(AA46+1))</f>
        <v>88.888888888888886</v>
      </c>
      <c r="AC46" t="str">
        <f t="shared" si="5"/>
        <v/>
      </c>
    </row>
    <row r="47" spans="10:29" x14ac:dyDescent="0.25">
      <c r="J47" s="2">
        <f t="shared" si="6"/>
        <v>249</v>
      </c>
      <c r="K47" s="2">
        <v>225</v>
      </c>
      <c r="L47" s="8">
        <f>$K$3/(2*(J47+1)*(K47+1))</f>
        <v>10.619469026548673</v>
      </c>
      <c r="M47" t="str">
        <f t="shared" si="1"/>
        <v/>
      </c>
      <c r="N47" s="2">
        <f t="shared" si="7"/>
        <v>249</v>
      </c>
      <c r="O47" s="2">
        <v>175</v>
      </c>
      <c r="P47" s="8">
        <f>$K$3/(2*(N47+1)*(O47+1))</f>
        <v>13.636363636363637</v>
      </c>
      <c r="Q47" t="str">
        <f t="shared" si="2"/>
        <v/>
      </c>
      <c r="R47" s="2">
        <f>R46</f>
        <v>249</v>
      </c>
      <c r="S47" s="2">
        <v>125</v>
      </c>
      <c r="T47" s="8">
        <f>$K$3/(2*(R47+1)*(S47+1))</f>
        <v>19.047619047619047</v>
      </c>
      <c r="U47" t="str">
        <f t="shared" si="3"/>
        <v/>
      </c>
      <c r="V47" s="2">
        <f>V46</f>
        <v>249</v>
      </c>
      <c r="W47" s="2">
        <v>75</v>
      </c>
      <c r="X47" s="8">
        <f>$K$3/(2*(V47+1)*(W47+1))</f>
        <v>31.578947368421051</v>
      </c>
      <c r="Y47" t="str">
        <f t="shared" si="4"/>
        <v/>
      </c>
      <c r="Z47" s="2">
        <f>Z46</f>
        <v>249</v>
      </c>
      <c r="AA47" s="2">
        <v>25</v>
      </c>
      <c r="AB47" s="8">
        <f>$K$3/(2*(Z47+1)*(AA47+1))</f>
        <v>92.307692307692307</v>
      </c>
      <c r="AC47" t="str">
        <f t="shared" si="5"/>
        <v/>
      </c>
    </row>
    <row r="48" spans="10:29" x14ac:dyDescent="0.25">
      <c r="J48" s="2">
        <f t="shared" si="6"/>
        <v>249</v>
      </c>
      <c r="K48" s="2">
        <v>224</v>
      </c>
      <c r="L48" s="8">
        <f>$K$3/(2*(J48+1)*(K48+1))</f>
        <v>10.666666666666666</v>
      </c>
      <c r="M48" t="str">
        <f t="shared" si="1"/>
        <v/>
      </c>
      <c r="N48" s="2">
        <f t="shared" si="7"/>
        <v>249</v>
      </c>
      <c r="O48" s="2">
        <v>174</v>
      </c>
      <c r="P48" s="8">
        <f>$K$3/(2*(N48+1)*(O48+1))</f>
        <v>13.714285714285714</v>
      </c>
      <c r="Q48" t="str">
        <f t="shared" si="2"/>
        <v/>
      </c>
      <c r="R48" s="2">
        <f t="shared" ref="R48:R111" si="8">R47</f>
        <v>249</v>
      </c>
      <c r="S48" s="2">
        <v>124</v>
      </c>
      <c r="T48" s="8">
        <f>$K$3/(2*(R48+1)*(S48+1))</f>
        <v>19.2</v>
      </c>
      <c r="U48" t="str">
        <f t="shared" si="3"/>
        <v/>
      </c>
      <c r="V48" s="2">
        <f>V47</f>
        <v>249</v>
      </c>
      <c r="W48" s="2">
        <v>74</v>
      </c>
      <c r="X48" s="8">
        <f>$K$3/(2*(V48+1)*(W48+1))</f>
        <v>32</v>
      </c>
      <c r="Y48" t="str">
        <f t="shared" si="4"/>
        <v>1</v>
      </c>
      <c r="Z48" s="2">
        <f>Z47</f>
        <v>249</v>
      </c>
      <c r="AA48" s="2">
        <v>24</v>
      </c>
      <c r="AB48" s="8">
        <f>$K$3/(2*(Z48+1)*(AA48+1))</f>
        <v>96</v>
      </c>
      <c r="AC48" t="str">
        <f t="shared" si="5"/>
        <v>1</v>
      </c>
    </row>
    <row r="49" spans="10:29" x14ac:dyDescent="0.25">
      <c r="J49" s="2">
        <f t="shared" si="6"/>
        <v>249</v>
      </c>
      <c r="K49" s="2">
        <v>223</v>
      </c>
      <c r="L49" s="8">
        <f>$K$3/(2*(J49+1)*(K49+1))</f>
        <v>10.714285714285714</v>
      </c>
      <c r="M49" t="str">
        <f t="shared" si="1"/>
        <v/>
      </c>
      <c r="N49" s="2">
        <f t="shared" si="7"/>
        <v>249</v>
      </c>
      <c r="O49" s="2">
        <v>173</v>
      </c>
      <c r="P49" s="8">
        <f>$K$3/(2*(N49+1)*(O49+1))</f>
        <v>13.793103448275861</v>
      </c>
      <c r="Q49" t="str">
        <f t="shared" si="2"/>
        <v/>
      </c>
      <c r="R49" s="2">
        <f t="shared" si="8"/>
        <v>249</v>
      </c>
      <c r="S49" s="2">
        <v>123</v>
      </c>
      <c r="T49" s="8">
        <f>$K$3/(2*(R49+1)*(S49+1))</f>
        <v>19.35483870967742</v>
      </c>
      <c r="U49" t="str">
        <f t="shared" si="3"/>
        <v/>
      </c>
      <c r="V49" s="2">
        <f>V48</f>
        <v>249</v>
      </c>
      <c r="W49" s="2">
        <v>73</v>
      </c>
      <c r="X49" s="8">
        <f>$K$3/(2*(V49+1)*(W49+1))</f>
        <v>32.432432432432435</v>
      </c>
      <c r="Y49" t="str">
        <f t="shared" si="4"/>
        <v/>
      </c>
      <c r="Z49" s="2">
        <f>Z48</f>
        <v>249</v>
      </c>
      <c r="AA49" s="2">
        <v>23</v>
      </c>
      <c r="AB49" s="8">
        <f>$K$3/(2*(Z49+1)*(AA49+1))</f>
        <v>100</v>
      </c>
      <c r="AC49" t="str">
        <f t="shared" si="5"/>
        <v>1</v>
      </c>
    </row>
    <row r="50" spans="10:29" x14ac:dyDescent="0.25">
      <c r="J50" s="2">
        <f t="shared" si="6"/>
        <v>249</v>
      </c>
      <c r="K50" s="2">
        <v>222</v>
      </c>
      <c r="L50" s="8">
        <f>$K$3/(2*(J50+1)*(K50+1))</f>
        <v>10.762331838565023</v>
      </c>
      <c r="M50" t="str">
        <f t="shared" si="1"/>
        <v/>
      </c>
      <c r="N50" s="2">
        <f t="shared" si="7"/>
        <v>249</v>
      </c>
      <c r="O50" s="2">
        <v>172</v>
      </c>
      <c r="P50" s="8">
        <f>$K$3/(2*(N50+1)*(O50+1))</f>
        <v>13.872832369942197</v>
      </c>
      <c r="Q50" t="str">
        <f t="shared" si="2"/>
        <v/>
      </c>
      <c r="R50" s="2">
        <f t="shared" si="8"/>
        <v>249</v>
      </c>
      <c r="S50" s="2">
        <v>122</v>
      </c>
      <c r="T50" s="8">
        <f>$K$3/(2*(R50+1)*(S50+1))</f>
        <v>19.512195121951219</v>
      </c>
      <c r="U50" t="str">
        <f t="shared" si="3"/>
        <v/>
      </c>
      <c r="V50" s="2">
        <f>V49</f>
        <v>249</v>
      </c>
      <c r="W50" s="2">
        <v>72</v>
      </c>
      <c r="X50" s="8">
        <f>$K$3/(2*(V50+1)*(W50+1))</f>
        <v>32.876712328767127</v>
      </c>
      <c r="Y50" t="str">
        <f t="shared" si="4"/>
        <v/>
      </c>
      <c r="Z50" s="2">
        <f>Z49</f>
        <v>249</v>
      </c>
      <c r="AA50" s="2">
        <v>22</v>
      </c>
      <c r="AB50" s="8">
        <f>$K$3/(2*(Z50+1)*(AA50+1))</f>
        <v>104.34782608695652</v>
      </c>
      <c r="AC50" t="str">
        <f t="shared" si="5"/>
        <v/>
      </c>
    </row>
    <row r="51" spans="10:29" x14ac:dyDescent="0.25">
      <c r="J51" s="2">
        <f t="shared" si="6"/>
        <v>249</v>
      </c>
      <c r="K51" s="2">
        <v>221</v>
      </c>
      <c r="L51" s="8">
        <f>$K$3/(2*(J51+1)*(K51+1))</f>
        <v>10.810810810810811</v>
      </c>
      <c r="M51" t="str">
        <f t="shared" si="1"/>
        <v/>
      </c>
      <c r="N51" s="2">
        <f t="shared" si="7"/>
        <v>249</v>
      </c>
      <c r="O51" s="2">
        <v>171</v>
      </c>
      <c r="P51" s="8">
        <f>$K$3/(2*(N51+1)*(O51+1))</f>
        <v>13.953488372093023</v>
      </c>
      <c r="Q51" t="str">
        <f t="shared" si="2"/>
        <v/>
      </c>
      <c r="R51" s="2">
        <f t="shared" si="8"/>
        <v>249</v>
      </c>
      <c r="S51" s="2">
        <v>121</v>
      </c>
      <c r="T51" s="8">
        <f>$K$3/(2*(R51+1)*(S51+1))</f>
        <v>19.672131147540984</v>
      </c>
      <c r="U51" t="str">
        <f t="shared" si="3"/>
        <v/>
      </c>
      <c r="V51" s="2">
        <f>V50</f>
        <v>249</v>
      </c>
      <c r="W51" s="2">
        <v>71</v>
      </c>
      <c r="X51" s="8">
        <f>$K$3/(2*(V51+1)*(W51+1))</f>
        <v>33.333333333333336</v>
      </c>
      <c r="Y51" t="str">
        <f t="shared" si="4"/>
        <v/>
      </c>
      <c r="Z51" s="2">
        <f>Z50</f>
        <v>249</v>
      </c>
      <c r="AA51" s="2">
        <v>21</v>
      </c>
      <c r="AB51" s="8">
        <f>$K$3/(2*(Z51+1)*(AA51+1))</f>
        <v>109.09090909090909</v>
      </c>
      <c r="AC51" t="str">
        <f t="shared" si="5"/>
        <v/>
      </c>
    </row>
    <row r="52" spans="10:29" x14ac:dyDescent="0.25">
      <c r="J52" s="2">
        <f t="shared" si="6"/>
        <v>249</v>
      </c>
      <c r="K52" s="2">
        <v>220</v>
      </c>
      <c r="L52" s="8">
        <f>$K$3/(2*(J52+1)*(K52+1))</f>
        <v>10.859728506787331</v>
      </c>
      <c r="M52" t="str">
        <f t="shared" si="1"/>
        <v/>
      </c>
      <c r="N52" s="2">
        <f t="shared" si="7"/>
        <v>249</v>
      </c>
      <c r="O52" s="2">
        <v>170</v>
      </c>
      <c r="P52" s="8">
        <f>$K$3/(2*(N52+1)*(O52+1))</f>
        <v>14.035087719298245</v>
      </c>
      <c r="Q52" t="str">
        <f t="shared" si="2"/>
        <v/>
      </c>
      <c r="R52" s="2">
        <f t="shared" si="8"/>
        <v>249</v>
      </c>
      <c r="S52" s="2">
        <v>120</v>
      </c>
      <c r="T52" s="8">
        <f>$K$3/(2*(R52+1)*(S52+1))</f>
        <v>19.834710743801654</v>
      </c>
      <c r="U52" t="str">
        <f t="shared" si="3"/>
        <v/>
      </c>
      <c r="V52" s="2">
        <f>V51</f>
        <v>249</v>
      </c>
      <c r="W52" s="2">
        <v>70</v>
      </c>
      <c r="X52" s="8">
        <f>$K$3/(2*(V52+1)*(W52+1))</f>
        <v>33.802816901408448</v>
      </c>
      <c r="Y52" t="str">
        <f t="shared" si="4"/>
        <v/>
      </c>
      <c r="Z52" s="2">
        <f>Z51</f>
        <v>249</v>
      </c>
      <c r="AA52" s="2">
        <v>20</v>
      </c>
      <c r="AB52" s="8">
        <f>$K$3/(2*(Z52+1)*(AA52+1))</f>
        <v>114.28571428571429</v>
      </c>
      <c r="AC52" t="str">
        <f t="shared" si="5"/>
        <v/>
      </c>
    </row>
    <row r="53" spans="10:29" x14ac:dyDescent="0.25">
      <c r="J53" s="2">
        <f t="shared" si="6"/>
        <v>249</v>
      </c>
      <c r="K53" s="2">
        <v>219</v>
      </c>
      <c r="L53" s="8">
        <f>$K$3/(2*(J53+1)*(K53+1))</f>
        <v>10.909090909090908</v>
      </c>
      <c r="M53" t="str">
        <f t="shared" si="1"/>
        <v/>
      </c>
      <c r="N53" s="2">
        <f t="shared" si="7"/>
        <v>249</v>
      </c>
      <c r="O53" s="2">
        <v>169</v>
      </c>
      <c r="P53" s="8">
        <f>$K$3/(2*(N53+1)*(O53+1))</f>
        <v>14.117647058823529</v>
      </c>
      <c r="Q53" t="str">
        <f t="shared" si="2"/>
        <v/>
      </c>
      <c r="R53" s="2">
        <f t="shared" si="8"/>
        <v>249</v>
      </c>
      <c r="S53" s="2">
        <v>119</v>
      </c>
      <c r="T53" s="8">
        <f>$K$3/(2*(R53+1)*(S53+1))</f>
        <v>20</v>
      </c>
      <c r="U53" t="str">
        <f t="shared" si="3"/>
        <v>1</v>
      </c>
      <c r="V53" s="2">
        <f>V52</f>
        <v>249</v>
      </c>
      <c r="W53" s="2">
        <v>69</v>
      </c>
      <c r="X53" s="8">
        <f>$K$3/(2*(V53+1)*(W53+1))</f>
        <v>34.285714285714285</v>
      </c>
      <c r="Y53" t="str">
        <f t="shared" si="4"/>
        <v/>
      </c>
      <c r="Z53" s="2">
        <f>Z52</f>
        <v>249</v>
      </c>
      <c r="AA53" s="2">
        <v>19</v>
      </c>
      <c r="AB53" s="8">
        <f>$K$3/(2*(Z53+1)*(AA53+1))</f>
        <v>120</v>
      </c>
      <c r="AC53" t="str">
        <f t="shared" si="5"/>
        <v>1</v>
      </c>
    </row>
    <row r="54" spans="10:29" x14ac:dyDescent="0.25">
      <c r="J54" s="2">
        <f t="shared" si="6"/>
        <v>249</v>
      </c>
      <c r="K54" s="2">
        <v>218</v>
      </c>
      <c r="L54" s="8">
        <f>$K$3/(2*(J54+1)*(K54+1))</f>
        <v>10.95890410958904</v>
      </c>
      <c r="M54" t="str">
        <f t="shared" si="1"/>
        <v/>
      </c>
      <c r="N54" s="2">
        <f t="shared" si="7"/>
        <v>249</v>
      </c>
      <c r="O54" s="2">
        <v>168</v>
      </c>
      <c r="P54" s="8">
        <f>$K$3/(2*(N54+1)*(O54+1))</f>
        <v>14.201183431952662</v>
      </c>
      <c r="Q54" t="str">
        <f t="shared" si="2"/>
        <v/>
      </c>
      <c r="R54" s="2">
        <f t="shared" si="8"/>
        <v>249</v>
      </c>
      <c r="S54" s="2">
        <v>118</v>
      </c>
      <c r="T54" s="8">
        <f>$K$3/(2*(R54+1)*(S54+1))</f>
        <v>20.168067226890756</v>
      </c>
      <c r="U54" t="str">
        <f t="shared" si="3"/>
        <v/>
      </c>
      <c r="V54" s="2">
        <f>V53</f>
        <v>249</v>
      </c>
      <c r="W54" s="2">
        <v>68</v>
      </c>
      <c r="X54" s="8">
        <f>$K$3/(2*(V54+1)*(W54+1))</f>
        <v>34.782608695652172</v>
      </c>
      <c r="Y54" t="str">
        <f t="shared" si="4"/>
        <v/>
      </c>
      <c r="Z54" s="2">
        <f>Z53</f>
        <v>249</v>
      </c>
      <c r="AA54" s="2">
        <v>18</v>
      </c>
      <c r="AB54" s="8">
        <f>$K$3/(2*(Z54+1)*(AA54+1))</f>
        <v>126.31578947368421</v>
      </c>
      <c r="AC54" t="str">
        <f t="shared" si="5"/>
        <v/>
      </c>
    </row>
    <row r="55" spans="10:29" x14ac:dyDescent="0.25">
      <c r="J55" s="2">
        <f t="shared" si="6"/>
        <v>249</v>
      </c>
      <c r="K55" s="2">
        <v>217</v>
      </c>
      <c r="L55" s="8">
        <f>$K$3/(2*(J55+1)*(K55+1))</f>
        <v>11.009174311926605</v>
      </c>
      <c r="M55" t="str">
        <f t="shared" si="1"/>
        <v/>
      </c>
      <c r="N55" s="2">
        <f t="shared" si="7"/>
        <v>249</v>
      </c>
      <c r="O55" s="2">
        <v>167</v>
      </c>
      <c r="P55" s="8">
        <f>$K$3/(2*(N55+1)*(O55+1))</f>
        <v>14.285714285714286</v>
      </c>
      <c r="Q55" t="str">
        <f t="shared" si="2"/>
        <v/>
      </c>
      <c r="R55" s="2">
        <f t="shared" si="8"/>
        <v>249</v>
      </c>
      <c r="S55" s="2">
        <v>117</v>
      </c>
      <c r="T55" s="8">
        <f>$K$3/(2*(R55+1)*(S55+1))</f>
        <v>20.338983050847457</v>
      </c>
      <c r="U55" t="str">
        <f t="shared" si="3"/>
        <v/>
      </c>
      <c r="V55" s="2">
        <f>V54</f>
        <v>249</v>
      </c>
      <c r="W55" s="2">
        <v>67</v>
      </c>
      <c r="X55" s="8">
        <f>$K$3/(2*(V55+1)*(W55+1))</f>
        <v>35.294117647058826</v>
      </c>
      <c r="Y55" t="str">
        <f t="shared" si="4"/>
        <v/>
      </c>
      <c r="Z55" s="2">
        <f>Z54</f>
        <v>249</v>
      </c>
      <c r="AA55" s="2">
        <v>17</v>
      </c>
      <c r="AB55" s="8">
        <f>$K$3/(2*(Z55+1)*(AA55+1))</f>
        <v>133.33333333333334</v>
      </c>
      <c r="AC55" t="str">
        <f t="shared" si="5"/>
        <v/>
      </c>
    </row>
    <row r="56" spans="10:29" x14ac:dyDescent="0.25">
      <c r="J56" s="2">
        <f t="shared" si="6"/>
        <v>249</v>
      </c>
      <c r="K56" s="2">
        <v>216</v>
      </c>
      <c r="L56" s="8">
        <f>$K$3/(2*(J56+1)*(K56+1))</f>
        <v>11.059907834101383</v>
      </c>
      <c r="M56" t="str">
        <f t="shared" si="1"/>
        <v/>
      </c>
      <c r="N56" s="2">
        <f t="shared" si="7"/>
        <v>249</v>
      </c>
      <c r="O56" s="2">
        <v>166</v>
      </c>
      <c r="P56" s="8">
        <f>$K$3/(2*(N56+1)*(O56+1))</f>
        <v>14.37125748502994</v>
      </c>
      <c r="Q56" t="str">
        <f t="shared" si="2"/>
        <v/>
      </c>
      <c r="R56" s="2">
        <f t="shared" si="8"/>
        <v>249</v>
      </c>
      <c r="S56" s="2">
        <v>116</v>
      </c>
      <c r="T56" s="8">
        <f>$K$3/(2*(R56+1)*(S56+1))</f>
        <v>20.512820512820515</v>
      </c>
      <c r="U56" t="str">
        <f t="shared" si="3"/>
        <v/>
      </c>
      <c r="V56" s="2">
        <f>V55</f>
        <v>249</v>
      </c>
      <c r="W56" s="2">
        <v>66</v>
      </c>
      <c r="X56" s="8">
        <f>$K$3/(2*(V56+1)*(W56+1))</f>
        <v>35.820895522388057</v>
      </c>
      <c r="Y56" t="str">
        <f t="shared" si="4"/>
        <v/>
      </c>
      <c r="Z56" s="2">
        <f>Z55</f>
        <v>249</v>
      </c>
      <c r="AA56" s="2">
        <v>16</v>
      </c>
      <c r="AB56" s="8">
        <f>$K$3/(2*(Z56+1)*(AA56+1))</f>
        <v>141.1764705882353</v>
      </c>
      <c r="AC56" t="str">
        <f t="shared" si="5"/>
        <v/>
      </c>
    </row>
    <row r="57" spans="10:29" x14ac:dyDescent="0.25">
      <c r="J57" s="2">
        <f t="shared" si="6"/>
        <v>249</v>
      </c>
      <c r="K57" s="2">
        <v>215</v>
      </c>
      <c r="L57" s="8">
        <f>$K$3/(2*(J57+1)*(K57+1))</f>
        <v>11.111111111111111</v>
      </c>
      <c r="M57" t="str">
        <f t="shared" si="1"/>
        <v/>
      </c>
      <c r="N57" s="2">
        <f t="shared" si="7"/>
        <v>249</v>
      </c>
      <c r="O57" s="2">
        <v>165</v>
      </c>
      <c r="P57" s="8">
        <f>$K$3/(2*(N57+1)*(O57+1))</f>
        <v>14.457831325301205</v>
      </c>
      <c r="Q57" t="str">
        <f t="shared" si="2"/>
        <v/>
      </c>
      <c r="R57" s="2">
        <f t="shared" si="8"/>
        <v>249</v>
      </c>
      <c r="S57" s="2">
        <v>115</v>
      </c>
      <c r="T57" s="8">
        <f>$K$3/(2*(R57+1)*(S57+1))</f>
        <v>20.689655172413794</v>
      </c>
      <c r="U57" t="str">
        <f t="shared" si="3"/>
        <v/>
      </c>
      <c r="V57" s="2">
        <f>V56</f>
        <v>249</v>
      </c>
      <c r="W57" s="2">
        <v>65</v>
      </c>
      <c r="X57" s="8">
        <f>$K$3/(2*(V57+1)*(W57+1))</f>
        <v>36.363636363636367</v>
      </c>
      <c r="Y57" t="str">
        <f t="shared" si="4"/>
        <v/>
      </c>
      <c r="Z57" s="2">
        <f>Z56</f>
        <v>249</v>
      </c>
      <c r="AA57" s="2">
        <v>15</v>
      </c>
      <c r="AB57" s="8">
        <f>$K$3/(2*(Z57+1)*(AA57+1))</f>
        <v>150</v>
      </c>
      <c r="AC57" t="str">
        <f t="shared" si="5"/>
        <v>1</v>
      </c>
    </row>
    <row r="58" spans="10:29" x14ac:dyDescent="0.25">
      <c r="J58" s="2">
        <f t="shared" si="6"/>
        <v>249</v>
      </c>
      <c r="K58" s="2">
        <v>214</v>
      </c>
      <c r="L58" s="8">
        <f>$K$3/(2*(J58+1)*(K58+1))</f>
        <v>11.162790697674419</v>
      </c>
      <c r="M58" t="str">
        <f t="shared" si="1"/>
        <v/>
      </c>
      <c r="N58" s="2">
        <f t="shared" si="7"/>
        <v>249</v>
      </c>
      <c r="O58" s="2">
        <v>164</v>
      </c>
      <c r="P58" s="8">
        <f>$K$3/(2*(N58+1)*(O58+1))</f>
        <v>14.545454545454545</v>
      </c>
      <c r="Q58" t="str">
        <f t="shared" si="2"/>
        <v/>
      </c>
      <c r="R58" s="2">
        <f t="shared" si="8"/>
        <v>249</v>
      </c>
      <c r="S58" s="2">
        <v>114</v>
      </c>
      <c r="T58" s="8">
        <f>$K$3/(2*(R58+1)*(S58+1))</f>
        <v>20.869565217391305</v>
      </c>
      <c r="U58" t="str">
        <f t="shared" si="3"/>
        <v/>
      </c>
      <c r="V58" s="2">
        <f>V57</f>
        <v>249</v>
      </c>
      <c r="W58" s="2">
        <v>64</v>
      </c>
      <c r="X58" s="8">
        <f>$K$3/(2*(V58+1)*(W58+1))</f>
        <v>36.92307692307692</v>
      </c>
      <c r="Y58" t="str">
        <f t="shared" si="4"/>
        <v/>
      </c>
      <c r="Z58" s="2">
        <f>Z57</f>
        <v>249</v>
      </c>
      <c r="AA58" s="2">
        <v>14</v>
      </c>
      <c r="AB58" s="8">
        <f>$K$3/(2*(Z58+1)*(AA58+1))</f>
        <v>160</v>
      </c>
      <c r="AC58" t="str">
        <f t="shared" si="5"/>
        <v>1</v>
      </c>
    </row>
    <row r="59" spans="10:29" x14ac:dyDescent="0.25">
      <c r="J59" s="2">
        <f t="shared" si="6"/>
        <v>249</v>
      </c>
      <c r="K59" s="2">
        <v>213</v>
      </c>
      <c r="L59" s="8">
        <f>$K$3/(2*(J59+1)*(K59+1))</f>
        <v>11.214953271028037</v>
      </c>
      <c r="M59" t="str">
        <f t="shared" si="1"/>
        <v/>
      </c>
      <c r="N59" s="2">
        <f t="shared" si="7"/>
        <v>249</v>
      </c>
      <c r="O59" s="2">
        <v>163</v>
      </c>
      <c r="P59" s="8">
        <f>$K$3/(2*(N59+1)*(O59+1))</f>
        <v>14.634146341463415</v>
      </c>
      <c r="Q59" t="str">
        <f t="shared" si="2"/>
        <v/>
      </c>
      <c r="R59" s="2">
        <f t="shared" si="8"/>
        <v>249</v>
      </c>
      <c r="S59" s="2">
        <v>113</v>
      </c>
      <c r="T59" s="8">
        <f>$K$3/(2*(R59+1)*(S59+1))</f>
        <v>21.05263157894737</v>
      </c>
      <c r="U59" t="str">
        <f t="shared" si="3"/>
        <v/>
      </c>
      <c r="V59" s="2">
        <f>V58</f>
        <v>249</v>
      </c>
      <c r="W59" s="2">
        <v>63</v>
      </c>
      <c r="X59" s="8">
        <f>$K$3/(2*(V59+1)*(W59+1))</f>
        <v>37.5</v>
      </c>
      <c r="Y59" t="str">
        <f t="shared" si="4"/>
        <v/>
      </c>
      <c r="Z59" s="2">
        <f>Z58</f>
        <v>249</v>
      </c>
      <c r="AA59" s="2">
        <v>13</v>
      </c>
      <c r="AB59" s="8">
        <f>$K$3/(2*(Z59+1)*(AA59+1))</f>
        <v>171.42857142857142</v>
      </c>
      <c r="AC59" t="str">
        <f t="shared" si="5"/>
        <v/>
      </c>
    </row>
    <row r="60" spans="10:29" x14ac:dyDescent="0.25">
      <c r="J60" s="2">
        <f t="shared" si="6"/>
        <v>249</v>
      </c>
      <c r="K60" s="2">
        <v>212</v>
      </c>
      <c r="L60" s="8">
        <f>$K$3/(2*(J60+1)*(K60+1))</f>
        <v>11.267605633802816</v>
      </c>
      <c r="M60" t="str">
        <f t="shared" si="1"/>
        <v/>
      </c>
      <c r="N60" s="2">
        <f t="shared" si="7"/>
        <v>249</v>
      </c>
      <c r="O60" s="2">
        <v>162</v>
      </c>
      <c r="P60" s="8">
        <f>$K$3/(2*(N60+1)*(O60+1))</f>
        <v>14.723926380368098</v>
      </c>
      <c r="Q60" t="str">
        <f t="shared" si="2"/>
        <v/>
      </c>
      <c r="R60" s="2">
        <f t="shared" si="8"/>
        <v>249</v>
      </c>
      <c r="S60" s="2">
        <v>112</v>
      </c>
      <c r="T60" s="8">
        <f>$K$3/(2*(R60+1)*(S60+1))</f>
        <v>21.238938053097346</v>
      </c>
      <c r="U60" t="str">
        <f t="shared" si="3"/>
        <v/>
      </c>
      <c r="V60" s="2">
        <f>V59</f>
        <v>249</v>
      </c>
      <c r="W60" s="2">
        <v>62</v>
      </c>
      <c r="X60" s="8">
        <f>$K$3/(2*(V60+1)*(W60+1))</f>
        <v>38.095238095238095</v>
      </c>
      <c r="Y60" t="str">
        <f t="shared" si="4"/>
        <v/>
      </c>
      <c r="Z60" s="2">
        <f>Z59</f>
        <v>249</v>
      </c>
      <c r="AA60" s="2">
        <v>12</v>
      </c>
      <c r="AB60" s="8">
        <f>$K$3/(2*(Z60+1)*(AA60+1))</f>
        <v>184.61538461538461</v>
      </c>
      <c r="AC60" t="str">
        <f t="shared" si="5"/>
        <v/>
      </c>
    </row>
    <row r="61" spans="10:29" x14ac:dyDescent="0.25">
      <c r="J61" s="2">
        <f t="shared" si="6"/>
        <v>249</v>
      </c>
      <c r="K61" s="2">
        <v>211</v>
      </c>
      <c r="L61" s="8">
        <f>$K$3/(2*(J61+1)*(K61+1))</f>
        <v>11.320754716981131</v>
      </c>
      <c r="M61" t="str">
        <f t="shared" si="1"/>
        <v/>
      </c>
      <c r="N61" s="2">
        <f t="shared" si="7"/>
        <v>249</v>
      </c>
      <c r="O61" s="2">
        <v>161</v>
      </c>
      <c r="P61" s="8">
        <f>$K$3/(2*(N61+1)*(O61+1))</f>
        <v>14.814814814814815</v>
      </c>
      <c r="Q61" t="str">
        <f t="shared" si="2"/>
        <v/>
      </c>
      <c r="R61" s="2">
        <f t="shared" si="8"/>
        <v>249</v>
      </c>
      <c r="S61" s="2">
        <v>111</v>
      </c>
      <c r="T61" s="8">
        <f>$K$3/(2*(R61+1)*(S61+1))</f>
        <v>21.428571428571427</v>
      </c>
      <c r="U61" t="str">
        <f t="shared" si="3"/>
        <v/>
      </c>
      <c r="V61" s="2">
        <f>V60</f>
        <v>249</v>
      </c>
      <c r="W61" s="2">
        <v>61</v>
      </c>
      <c r="X61" s="8">
        <f>$K$3/(2*(V61+1)*(W61+1))</f>
        <v>38.70967741935484</v>
      </c>
      <c r="Y61" t="str">
        <f t="shared" si="4"/>
        <v/>
      </c>
      <c r="Z61" s="2">
        <f>Z60</f>
        <v>249</v>
      </c>
      <c r="AA61" s="2">
        <v>11</v>
      </c>
      <c r="AB61" s="8">
        <f>$K$3/(2*(Z61+1)*(AA61+1))</f>
        <v>200</v>
      </c>
      <c r="AC61" t="str">
        <f t="shared" si="5"/>
        <v>1</v>
      </c>
    </row>
    <row r="62" spans="10:29" x14ac:dyDescent="0.25">
      <c r="J62" s="2">
        <f t="shared" si="6"/>
        <v>249</v>
      </c>
      <c r="K62" s="2">
        <v>210</v>
      </c>
      <c r="L62" s="8">
        <f>$K$3/(2*(J62+1)*(K62+1))</f>
        <v>11.374407582938389</v>
      </c>
      <c r="M62" t="str">
        <f t="shared" si="1"/>
        <v/>
      </c>
      <c r="N62" s="2">
        <f t="shared" si="7"/>
        <v>249</v>
      </c>
      <c r="O62" s="2">
        <v>160</v>
      </c>
      <c r="P62" s="8">
        <f>$K$3/(2*(N62+1)*(O62+1))</f>
        <v>14.906832298136646</v>
      </c>
      <c r="Q62" t="str">
        <f t="shared" si="2"/>
        <v/>
      </c>
      <c r="R62" s="2">
        <f t="shared" si="8"/>
        <v>249</v>
      </c>
      <c r="S62" s="2">
        <v>110</v>
      </c>
      <c r="T62" s="8">
        <f>$K$3/(2*(R62+1)*(S62+1))</f>
        <v>21.621621621621621</v>
      </c>
      <c r="U62" t="str">
        <f t="shared" si="3"/>
        <v/>
      </c>
      <c r="V62" s="2">
        <f t="shared" ref="V62:V122" si="9">V61</f>
        <v>249</v>
      </c>
      <c r="W62" s="2">
        <v>60</v>
      </c>
      <c r="X62" s="8">
        <f>$K$3/(2*(V62+1)*(W62+1))</f>
        <v>39.344262295081968</v>
      </c>
      <c r="Y62" t="str">
        <f t="shared" si="4"/>
        <v/>
      </c>
      <c r="Z62" s="2">
        <f>Z61</f>
        <v>249</v>
      </c>
      <c r="AA62" s="2">
        <v>10</v>
      </c>
      <c r="AB62" s="8">
        <f>$K$3/(2*(Z62+1)*(AA62+1))</f>
        <v>218.18181818181819</v>
      </c>
      <c r="AC62" t="str">
        <f t="shared" si="5"/>
        <v/>
      </c>
    </row>
    <row r="63" spans="10:29" x14ac:dyDescent="0.25">
      <c r="J63" s="2">
        <f t="shared" si="6"/>
        <v>249</v>
      </c>
      <c r="K63" s="2">
        <v>209</v>
      </c>
      <c r="L63" s="8">
        <f>$K$3/(2*(J63+1)*(K63+1))</f>
        <v>11.428571428571429</v>
      </c>
      <c r="M63" t="str">
        <f t="shared" si="1"/>
        <v/>
      </c>
      <c r="N63" s="2">
        <f t="shared" si="7"/>
        <v>249</v>
      </c>
      <c r="O63" s="2">
        <v>159</v>
      </c>
      <c r="P63" s="8">
        <f>$K$3/(2*(N63+1)*(O63+1))</f>
        <v>15</v>
      </c>
      <c r="Q63" t="str">
        <f t="shared" si="2"/>
        <v>1</v>
      </c>
      <c r="R63" s="2">
        <f t="shared" si="8"/>
        <v>249</v>
      </c>
      <c r="S63" s="2">
        <v>109</v>
      </c>
      <c r="T63" s="8">
        <f>$K$3/(2*(R63+1)*(S63+1))</f>
        <v>21.818181818181817</v>
      </c>
      <c r="U63" t="str">
        <f t="shared" si="3"/>
        <v/>
      </c>
      <c r="V63" s="2">
        <f t="shared" si="9"/>
        <v>249</v>
      </c>
      <c r="W63" s="2">
        <v>59</v>
      </c>
      <c r="X63" s="8">
        <f>$K$3/(2*(V63+1)*(W63+1))</f>
        <v>40</v>
      </c>
      <c r="Y63" t="str">
        <f t="shared" si="4"/>
        <v>1</v>
      </c>
      <c r="Z63" s="2">
        <f>Z62</f>
        <v>249</v>
      </c>
      <c r="AA63" s="2">
        <v>9</v>
      </c>
      <c r="AB63" s="8">
        <f>$K$3/(2*(Z63+1)*(AA63+1))</f>
        <v>240</v>
      </c>
      <c r="AC63" t="str">
        <f t="shared" si="5"/>
        <v>1</v>
      </c>
    </row>
    <row r="64" spans="10:29" x14ac:dyDescent="0.25">
      <c r="J64" s="2">
        <f t="shared" si="6"/>
        <v>249</v>
      </c>
      <c r="K64" s="2">
        <v>208</v>
      </c>
      <c r="L64" s="8">
        <f>$K$3/(2*(J64+1)*(K64+1))</f>
        <v>11.483253588516746</v>
      </c>
      <c r="M64" t="str">
        <f t="shared" si="1"/>
        <v/>
      </c>
      <c r="N64" s="2">
        <f t="shared" si="7"/>
        <v>249</v>
      </c>
      <c r="O64" s="2">
        <v>158</v>
      </c>
      <c r="P64" s="8">
        <f>$K$3/(2*(N64+1)*(O64+1))</f>
        <v>15.09433962264151</v>
      </c>
      <c r="Q64" t="str">
        <f t="shared" si="2"/>
        <v/>
      </c>
      <c r="R64" s="2">
        <f t="shared" si="8"/>
        <v>249</v>
      </c>
      <c r="S64" s="2">
        <v>108</v>
      </c>
      <c r="T64" s="8">
        <f>$K$3/(2*(R64+1)*(S64+1))</f>
        <v>22.01834862385321</v>
      </c>
      <c r="U64" t="str">
        <f t="shared" si="3"/>
        <v/>
      </c>
      <c r="V64" s="2">
        <f t="shared" si="9"/>
        <v>249</v>
      </c>
      <c r="W64" s="2">
        <v>58</v>
      </c>
      <c r="X64" s="8">
        <f>$K$3/(2*(V64+1)*(W64+1))</f>
        <v>40.677966101694913</v>
      </c>
      <c r="Y64" t="str">
        <f t="shared" si="4"/>
        <v/>
      </c>
      <c r="Z64" s="2">
        <f>Z63</f>
        <v>249</v>
      </c>
      <c r="AA64" s="2">
        <v>8</v>
      </c>
      <c r="AB64" s="8">
        <f>$K$3/(2*(Z64+1)*(AA64+1))</f>
        <v>266.66666666666669</v>
      </c>
      <c r="AC64" t="str">
        <f t="shared" si="5"/>
        <v/>
      </c>
    </row>
    <row r="65" spans="10:29" x14ac:dyDescent="0.25">
      <c r="J65" s="2">
        <f t="shared" si="6"/>
        <v>249</v>
      </c>
      <c r="K65" s="2">
        <v>207</v>
      </c>
      <c r="L65" s="8">
        <f>$K$3/(2*(J65+1)*(K65+1))</f>
        <v>11.538461538461538</v>
      </c>
      <c r="M65" t="str">
        <f t="shared" si="1"/>
        <v/>
      </c>
      <c r="N65" s="2">
        <f t="shared" si="7"/>
        <v>249</v>
      </c>
      <c r="O65" s="2">
        <v>157</v>
      </c>
      <c r="P65" s="8">
        <f>$K$3/(2*(N65+1)*(O65+1))</f>
        <v>15.189873417721518</v>
      </c>
      <c r="Q65" t="str">
        <f t="shared" si="2"/>
        <v/>
      </c>
      <c r="R65" s="2">
        <f t="shared" si="8"/>
        <v>249</v>
      </c>
      <c r="S65" s="2">
        <v>107</v>
      </c>
      <c r="T65" s="8">
        <f>$K$3/(2*(R65+1)*(S65+1))</f>
        <v>22.222222222222221</v>
      </c>
      <c r="U65" t="str">
        <f t="shared" si="3"/>
        <v/>
      </c>
      <c r="V65" s="2">
        <f t="shared" si="9"/>
        <v>249</v>
      </c>
      <c r="W65" s="2">
        <v>57</v>
      </c>
      <c r="X65" s="8">
        <f>$K$3/(2*(V65+1)*(W65+1))</f>
        <v>41.379310344827587</v>
      </c>
      <c r="Y65" t="str">
        <f t="shared" si="4"/>
        <v/>
      </c>
      <c r="Z65" s="2">
        <f>Z64</f>
        <v>249</v>
      </c>
      <c r="AA65" s="2">
        <v>7</v>
      </c>
      <c r="AB65" s="8">
        <f>$K$3/(2*(Z65+1)*(AA65+1))</f>
        <v>300</v>
      </c>
      <c r="AC65" t="str">
        <f t="shared" si="5"/>
        <v>1</v>
      </c>
    </row>
    <row r="66" spans="10:29" x14ac:dyDescent="0.25">
      <c r="J66" s="2">
        <f t="shared" si="6"/>
        <v>249</v>
      </c>
      <c r="K66" s="2">
        <v>206</v>
      </c>
      <c r="L66" s="8">
        <f>$K$3/(2*(J66+1)*(K66+1))</f>
        <v>11.594202898550725</v>
      </c>
      <c r="M66" t="str">
        <f t="shared" si="1"/>
        <v/>
      </c>
      <c r="N66" s="2">
        <f t="shared" si="7"/>
        <v>249</v>
      </c>
      <c r="O66" s="2">
        <v>156</v>
      </c>
      <c r="P66" s="8">
        <f>$K$3/(2*(N66+1)*(O66+1))</f>
        <v>15.286624203821656</v>
      </c>
      <c r="Q66" t="str">
        <f t="shared" si="2"/>
        <v/>
      </c>
      <c r="R66" s="2">
        <f t="shared" si="8"/>
        <v>249</v>
      </c>
      <c r="S66" s="2">
        <v>106</v>
      </c>
      <c r="T66" s="8">
        <f>$K$3/(2*(R66+1)*(S66+1))</f>
        <v>22.429906542056074</v>
      </c>
      <c r="U66" t="str">
        <f t="shared" si="3"/>
        <v/>
      </c>
      <c r="V66" s="2">
        <f t="shared" si="9"/>
        <v>249</v>
      </c>
      <c r="W66" s="2">
        <v>56</v>
      </c>
      <c r="X66" s="8">
        <f>$K$3/(2*(V66+1)*(W66+1))</f>
        <v>42.10526315789474</v>
      </c>
      <c r="Y66" t="str">
        <f t="shared" si="4"/>
        <v/>
      </c>
      <c r="Z66" s="2">
        <f>Z65</f>
        <v>249</v>
      </c>
      <c r="AA66" s="2">
        <v>6</v>
      </c>
      <c r="AB66" s="8">
        <f>$K$3/(2*(Z66+1)*(AA66+1))</f>
        <v>342.85714285714283</v>
      </c>
      <c r="AC66" t="str">
        <f t="shared" si="5"/>
        <v/>
      </c>
    </row>
    <row r="67" spans="10:29" x14ac:dyDescent="0.25">
      <c r="Z67" s="2">
        <f>Z66</f>
        <v>249</v>
      </c>
      <c r="AA67" s="2">
        <v>5</v>
      </c>
      <c r="AB67" s="8">
        <f>$K$3/(2*(Z67+1)*(AA67+1))</f>
        <v>400</v>
      </c>
      <c r="AC67" t="str">
        <f t="shared" si="5"/>
        <v>1</v>
      </c>
    </row>
    <row r="68" spans="10:29" x14ac:dyDescent="0.25">
      <c r="Z68" s="2">
        <f>Z67</f>
        <v>249</v>
      </c>
      <c r="AA68" s="2">
        <v>4</v>
      </c>
      <c r="AB68" s="8">
        <f>$K$3/(2*(Z68+1)*(AA68+1))</f>
        <v>480</v>
      </c>
      <c r="AC68" t="str">
        <f t="shared" si="5"/>
        <v>1</v>
      </c>
    </row>
    <row r="69" spans="10:29" x14ac:dyDescent="0.25">
      <c r="Z69" s="2">
        <f>Z68</f>
        <v>249</v>
      </c>
      <c r="AA69" s="2">
        <v>3</v>
      </c>
      <c r="AB69" s="8">
        <f>$K$3/(2*(Z69+1)*(AA69+1))</f>
        <v>600</v>
      </c>
      <c r="AC69" t="str">
        <f t="shared" si="5"/>
        <v>1</v>
      </c>
    </row>
    <row r="70" spans="10:29" x14ac:dyDescent="0.25">
      <c r="Z70" s="2">
        <f>Z69</f>
        <v>249</v>
      </c>
      <c r="AA70" s="2">
        <v>2</v>
      </c>
      <c r="AB70" s="8">
        <f>$K$3/(2*(Z70+1)*(AA70+1))</f>
        <v>800</v>
      </c>
      <c r="AC70" t="str">
        <f t="shared" si="5"/>
        <v>1</v>
      </c>
    </row>
    <row r="71" spans="10:29" x14ac:dyDescent="0.25">
      <c r="Z71" s="2">
        <f>Z70</f>
        <v>249</v>
      </c>
      <c r="AA71" s="2">
        <v>1</v>
      </c>
      <c r="AB71" s="8">
        <f>$K$3/(2*(Z71+1)*(AA71+1))</f>
        <v>1200</v>
      </c>
      <c r="AC71" t="str">
        <f t="shared" si="5"/>
        <v>1</v>
      </c>
    </row>
    <row r="72" spans="10:29" x14ac:dyDescent="0.25">
      <c r="Z72" s="2">
        <f>Z71</f>
        <v>249</v>
      </c>
      <c r="AA72" s="2">
        <v>0</v>
      </c>
      <c r="AB72" s="8">
        <f>$K$3/(2*(Z72+1)*(AA72+1))</f>
        <v>2400</v>
      </c>
      <c r="AC72" t="str">
        <f t="shared" si="5"/>
        <v>1</v>
      </c>
    </row>
  </sheetData>
  <mergeCells count="2">
    <mergeCell ref="D2:E2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Buter</dc:creator>
  <cp:lastModifiedBy>Gerrit Buter</cp:lastModifiedBy>
  <dcterms:created xsi:type="dcterms:W3CDTF">2015-06-05T18:17:20Z</dcterms:created>
  <dcterms:modified xsi:type="dcterms:W3CDTF">2025-10-06T14:09:08Z</dcterms:modified>
</cp:coreProperties>
</file>